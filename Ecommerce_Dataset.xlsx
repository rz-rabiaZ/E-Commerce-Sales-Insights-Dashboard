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rabia\Desktop\"/>
    </mc:Choice>
  </mc:AlternateContent>
  <xr:revisionPtr revIDLastSave="0" documentId="13_ncr:1_{A70E315A-5D4F-4E2F-9DE5-5314880C3940}" xr6:coauthVersionLast="47" xr6:coauthVersionMax="47" xr10:uidLastSave="{00000000-0000-0000-0000-000000000000}"/>
  <bookViews>
    <workbookView xWindow="-110" yWindow="-110" windowWidth="19420" windowHeight="10300" activeTab="3" xr2:uid="{00000000-000D-0000-FFFF-FFFF00000000}"/>
  </bookViews>
  <sheets>
    <sheet name="Dataset" sheetId="1" r:id="rId1"/>
    <sheet name="readme" sheetId="2" r:id="rId2"/>
    <sheet name="pivot_tables" sheetId="4" r:id="rId3"/>
    <sheet name="dashboard" sheetId="7" r:id="rId4"/>
  </sheets>
  <definedNames>
    <definedName name="_xlnm._FilterDatabase" localSheetId="0" hidden="1">Dataset!$E$1:$E$301</definedName>
    <definedName name="Slicer_Category">#N/A</definedName>
    <definedName name="Slicer_City">#N/A</definedName>
    <definedName name="Slicer_Payment">#N/A</definedName>
    <definedName name="Slicer_Product">#N/A</definedName>
  </definedNames>
  <calcPr calcId="191029"/>
  <pivotCaches>
    <pivotCache cacheId="0" r:id="rId5"/>
    <pivotCache cacheId="1" r:id="rId6"/>
    <pivotCache cacheId="2"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1" l="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L16" i="4"/>
  <c r="K16" i="4"/>
  <c r="J16" i="4"/>
</calcChain>
</file>

<file path=xl/sharedStrings.xml><?xml version="1.0" encoding="utf-8"?>
<sst xmlns="http://schemas.openxmlformats.org/spreadsheetml/2006/main" count="1866" uniqueCount="189">
  <si>
    <t>Order_ID</t>
  </si>
  <si>
    <t>Date</t>
  </si>
  <si>
    <t>Customer</t>
  </si>
  <si>
    <t>Product</t>
  </si>
  <si>
    <t>Category</t>
  </si>
  <si>
    <t>Price</t>
  </si>
  <si>
    <t>Quantity</t>
  </si>
  <si>
    <t>Discount_Percent</t>
  </si>
  <si>
    <t>Total</t>
  </si>
  <si>
    <t>City</t>
  </si>
  <si>
    <t>Payment</t>
  </si>
  <si>
    <t>2025-06-07</t>
  </si>
  <si>
    <t>Hina</t>
  </si>
  <si>
    <t>T-Shirt</t>
  </si>
  <si>
    <t>Clothing</t>
  </si>
  <si>
    <t>Karachi</t>
  </si>
  <si>
    <t>Wallet</t>
  </si>
  <si>
    <t>2025-02-05</t>
  </si>
  <si>
    <t>Multan</t>
  </si>
  <si>
    <t>Card</t>
  </si>
  <si>
    <t>2025-06-27</t>
  </si>
  <si>
    <t>Handbag</t>
  </si>
  <si>
    <t>Accessories</t>
  </si>
  <si>
    <t>2025-05-14</t>
  </si>
  <si>
    <t>Zain</t>
  </si>
  <si>
    <t>Jeans</t>
  </si>
  <si>
    <t>Faisalabad</t>
  </si>
  <si>
    <t>2025-03-04</t>
  </si>
  <si>
    <t>Sneakers</t>
  </si>
  <si>
    <t>Footwear</t>
  </si>
  <si>
    <t>Islamabad</t>
  </si>
  <si>
    <t>2025-05-10</t>
  </si>
  <si>
    <t>Sara</t>
  </si>
  <si>
    <t>Dress</t>
  </si>
  <si>
    <t>Women</t>
  </si>
  <si>
    <t>COD</t>
  </si>
  <si>
    <t>2025-03-11</t>
  </si>
  <si>
    <t>Ayesha</t>
  </si>
  <si>
    <t>Jacket</t>
  </si>
  <si>
    <t>2025-03-08</t>
  </si>
  <si>
    <t>Fatima</t>
  </si>
  <si>
    <t>2025-03-23</t>
  </si>
  <si>
    <t>2025-03-26</t>
  </si>
  <si>
    <t>Usman</t>
  </si>
  <si>
    <t>2025-04-08</t>
  </si>
  <si>
    <t>Lahore</t>
  </si>
  <si>
    <t>2025-06-14</t>
  </si>
  <si>
    <t>2025-05-09</t>
  </si>
  <si>
    <t>Noor</t>
  </si>
  <si>
    <t>2025-02-17</t>
  </si>
  <si>
    <t>2025-04-19</t>
  </si>
  <si>
    <t>Bilal</t>
  </si>
  <si>
    <t>2025-01-12</t>
  </si>
  <si>
    <t>2025-03-05</t>
  </si>
  <si>
    <t>2025-01-20</t>
  </si>
  <si>
    <t>Ahmed</t>
  </si>
  <si>
    <t>Hijab</t>
  </si>
  <si>
    <t>2025-01-01</t>
  </si>
  <si>
    <t>2025-05-03</t>
  </si>
  <si>
    <t>2025-03-12</t>
  </si>
  <si>
    <t>2025-01-26</t>
  </si>
  <si>
    <t>2025-02-26</t>
  </si>
  <si>
    <t>2025-05-11</t>
  </si>
  <si>
    <t>2025-04-13</t>
  </si>
  <si>
    <t>2025-04-23</t>
  </si>
  <si>
    <t>2025-03-27</t>
  </si>
  <si>
    <t>2025-04-11</t>
  </si>
  <si>
    <t>Ali</t>
  </si>
  <si>
    <t>2025-02-18</t>
  </si>
  <si>
    <t>2025-05-02</t>
  </si>
  <si>
    <t>2025-06-23</t>
  </si>
  <si>
    <t>2025-04-28</t>
  </si>
  <si>
    <t>2025-04-18</t>
  </si>
  <si>
    <t>2025-05-05</t>
  </si>
  <si>
    <t>2025-05-30</t>
  </si>
  <si>
    <t>2025-02-15</t>
  </si>
  <si>
    <t>2025-03-10</t>
  </si>
  <si>
    <t>2025-05-19</t>
  </si>
  <si>
    <t>2025-06-13</t>
  </si>
  <si>
    <t>2025-06-24</t>
  </si>
  <si>
    <t>2025-03-20</t>
  </si>
  <si>
    <t>2025-05-22</t>
  </si>
  <si>
    <t>2025-06-08</t>
  </si>
  <si>
    <t>2025-03-18</t>
  </si>
  <si>
    <t>2025-02-23</t>
  </si>
  <si>
    <t>2025-03-21</t>
  </si>
  <si>
    <t>2025-06-02</t>
  </si>
  <si>
    <t>2025-01-27</t>
  </si>
  <si>
    <t>2025-02-01</t>
  </si>
  <si>
    <t>2025-04-22</t>
  </si>
  <si>
    <t>2025-05-20</t>
  </si>
  <si>
    <t>2025-02-03</t>
  </si>
  <si>
    <t>2025-06-21</t>
  </si>
  <si>
    <t>2025-03-15</t>
  </si>
  <si>
    <t>2025-02-20</t>
  </si>
  <si>
    <t>2025-05-16</t>
  </si>
  <si>
    <t>2025-03-09</t>
  </si>
  <si>
    <t>2025-06-10</t>
  </si>
  <si>
    <t>2025-06-06</t>
  </si>
  <si>
    <t>2025-04-07</t>
  </si>
  <si>
    <t>2025-05-23</t>
  </si>
  <si>
    <t>2025-02-16</t>
  </si>
  <si>
    <t>2025-06-11</t>
  </si>
  <si>
    <t>2025-03-06</t>
  </si>
  <si>
    <t>2025-05-29</t>
  </si>
  <si>
    <t>2025-01-17</t>
  </si>
  <si>
    <t>2025-06-15</t>
  </si>
  <si>
    <t>2025-05-01</t>
  </si>
  <si>
    <t>2025-02-06</t>
  </si>
  <si>
    <t>2025-03-02</t>
  </si>
  <si>
    <t>2025-06-01</t>
  </si>
  <si>
    <t>2025-04-21</t>
  </si>
  <si>
    <t>2025-04-01</t>
  </si>
  <si>
    <t>2025-06-17</t>
  </si>
  <si>
    <t>2025-06-18</t>
  </si>
  <si>
    <t>2025-06-12</t>
  </si>
  <si>
    <t>2025-02-24</t>
  </si>
  <si>
    <t>2025-01-29</t>
  </si>
  <si>
    <t>2025-01-25</t>
  </si>
  <si>
    <t>2025-02-21</t>
  </si>
  <si>
    <t>2025-02-28</t>
  </si>
  <si>
    <t>2025-06-04</t>
  </si>
  <si>
    <t>2025-06-25</t>
  </si>
  <si>
    <t>2025-01-05</t>
  </si>
  <si>
    <t>2025-04-27</t>
  </si>
  <si>
    <t>2025-03-31</t>
  </si>
  <si>
    <t>2025-01-02</t>
  </si>
  <si>
    <t>2025-04-14</t>
  </si>
  <si>
    <t>2025-04-17</t>
  </si>
  <si>
    <t>2025-02-22</t>
  </si>
  <si>
    <t>2025-05-18</t>
  </si>
  <si>
    <t>2025-03-03</t>
  </si>
  <si>
    <t>2025-04-05</t>
  </si>
  <si>
    <t>2025-06-09</t>
  </si>
  <si>
    <t>2025-06-28</t>
  </si>
  <si>
    <t>2025-01-08</t>
  </si>
  <si>
    <t>2025-01-13</t>
  </si>
  <si>
    <t>2025-03-13</t>
  </si>
  <si>
    <t>2025-02-14</t>
  </si>
  <si>
    <t>2025-05-25</t>
  </si>
  <si>
    <t>2025-02-13</t>
  </si>
  <si>
    <t>2025-03-14</t>
  </si>
  <si>
    <t>2025-06-19</t>
  </si>
  <si>
    <t>2025-06-03</t>
  </si>
  <si>
    <t>2025-03-24</t>
  </si>
  <si>
    <t>2025-03-22</t>
  </si>
  <si>
    <t>2025-04-15</t>
  </si>
  <si>
    <t>2025-04-16</t>
  </si>
  <si>
    <t>2025-04-04</t>
  </si>
  <si>
    <t>2025-03-16</t>
  </si>
  <si>
    <t>2025-04-25</t>
  </si>
  <si>
    <t>2025-01-11</t>
  </si>
  <si>
    <t>2025-01-10</t>
  </si>
  <si>
    <t>2025-05-24</t>
  </si>
  <si>
    <t>2025-01-22</t>
  </si>
  <si>
    <t>2025-01-21</t>
  </si>
  <si>
    <t>2025-01-06</t>
  </si>
  <si>
    <t>2025-06-05</t>
  </si>
  <si>
    <t>2025-02-27</t>
  </si>
  <si>
    <t>2025-01-19</t>
  </si>
  <si>
    <t>2025-04-10</t>
  </si>
  <si>
    <t>2025-01-03</t>
  </si>
  <si>
    <t>2025-06-22</t>
  </si>
  <si>
    <t>2025-01-04</t>
  </si>
  <si>
    <t>2025-04-06</t>
  </si>
  <si>
    <t>2025-03-01</t>
  </si>
  <si>
    <t>2025-01-30</t>
  </si>
  <si>
    <t>2025-05-27</t>
  </si>
  <si>
    <t>2025-01-16</t>
  </si>
  <si>
    <t>2025-02-07</t>
  </si>
  <si>
    <t>2025-04-29</t>
  </si>
  <si>
    <t>2025-06-16</t>
  </si>
  <si>
    <t>2025-04-24</t>
  </si>
  <si>
    <t>2025-01-18</t>
  </si>
  <si>
    <t>2025-05-07</t>
  </si>
  <si>
    <t>2025-06-30</t>
  </si>
  <si>
    <t>2025-05-12</t>
  </si>
  <si>
    <t>2025-03-07</t>
  </si>
  <si>
    <t>2025-01-07</t>
  </si>
  <si>
    <t>2025-01-14</t>
  </si>
  <si>
    <t>2025-05-06</t>
  </si>
  <si>
    <t>E-Commerce Dataset &amp; Dashboard Documentation</t>
  </si>
  <si>
    <t>Sum of Total</t>
  </si>
  <si>
    <t>Grand Total</t>
  </si>
  <si>
    <t>Count of Order_ID</t>
  </si>
  <si>
    <t>Sum of Quantity</t>
  </si>
  <si>
    <r>
      <rPr>
        <sz val="16"/>
        <color theme="1"/>
        <rFont val="Aptos Narrow"/>
        <family val="2"/>
      </rPr>
      <t xml:space="preserve">○ </t>
    </r>
    <r>
      <rPr>
        <sz val="16"/>
        <color theme="1"/>
        <rFont val="Calibri"/>
        <family val="2"/>
        <scheme val="minor"/>
      </rPr>
      <t>Created a dynamic 'Total' column using formulas instead of hardcoded values</t>
    </r>
  </si>
  <si>
    <r>
      <rPr>
        <sz val="16"/>
        <color theme="1"/>
        <rFont val="Aptos Narrow"/>
        <family val="2"/>
      </rPr>
      <t xml:space="preserve">○ </t>
    </r>
    <r>
      <rPr>
        <sz val="16"/>
        <color theme="1"/>
        <rFont val="Calibri"/>
        <family val="2"/>
        <scheme val="minor"/>
      </rPr>
      <t>Implemented Data Validation dropdowns at category</t>
    </r>
  </si>
  <si>
    <r>
      <rPr>
        <sz val="16"/>
        <color theme="1"/>
        <rFont val="Aptos Narrow"/>
        <family val="2"/>
      </rPr>
      <t xml:space="preserve">○ </t>
    </r>
    <r>
      <rPr>
        <sz val="16"/>
        <color theme="1"/>
        <rFont val="Calibri"/>
        <family val="2"/>
        <scheme val="minor"/>
      </rPr>
      <t>Standardized product price and total revenue for clean reporting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</si>
</sst>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C09]#,##0"/>
  </numFmts>
  <fonts count="5" x14ac:knownFonts="1">
    <font>
      <sz val="11"/>
      <color theme="1"/>
      <name val="Calibri"/>
      <family val="2"/>
      <scheme val="minor"/>
    </font>
    <font>
      <b/>
      <sz val="11"/>
      <color theme="0"/>
      <name val="Arial Black"/>
      <family val="2"/>
    </font>
    <font>
      <sz val="16"/>
      <color theme="1"/>
      <name val="Calibri"/>
      <family val="2"/>
      <scheme val="minor"/>
    </font>
    <font>
      <b/>
      <sz val="12"/>
      <color theme="1"/>
      <name val="Arial Black"/>
      <family val="2"/>
    </font>
    <font>
      <sz val="16"/>
      <color theme="1"/>
      <name val="Aptos Narrow"/>
      <family val="2"/>
    </font>
  </fonts>
  <fills count="6">
    <fill>
      <patternFill patternType="none"/>
    </fill>
    <fill>
      <patternFill patternType="gray125"/>
    </fill>
    <fill>
      <patternFill patternType="solid">
        <fgColor theme="5" tint="-0.499984740745262"/>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5" tint="0.39997558519241921"/>
        <bgColor indexed="64"/>
      </patternFill>
    </fill>
  </fills>
  <borders count="1">
    <border>
      <left/>
      <right/>
      <top/>
      <bottom/>
      <diagonal/>
    </border>
  </borders>
  <cellStyleXfs count="1">
    <xf numFmtId="0" fontId="0" fillId="0" borderId="0"/>
  </cellStyleXfs>
  <cellXfs count="16">
    <xf numFmtId="0" fontId="0" fillId="0" borderId="0" xfId="0"/>
    <xf numFmtId="0" fontId="0" fillId="0" borderId="0" xfId="0" applyAlignment="1">
      <alignment horizontal="center"/>
    </xf>
    <xf numFmtId="1" fontId="0" fillId="0" borderId="0" xfId="0" applyNumberFormat="1" applyAlignment="1">
      <alignment horizontal="center"/>
    </xf>
    <xf numFmtId="0" fontId="1" fillId="2" borderId="0" xfId="0" applyFont="1" applyFill="1" applyAlignment="1">
      <alignment horizontal="center"/>
    </xf>
    <xf numFmtId="1" fontId="1" fillId="2" borderId="0" xfId="0" applyNumberFormat="1" applyFont="1" applyFill="1" applyAlignment="1">
      <alignment horizontal="center"/>
    </xf>
    <xf numFmtId="0" fontId="1" fillId="2" borderId="0" xfId="0" applyFont="1" applyFill="1"/>
    <xf numFmtId="164" fontId="1" fillId="2" borderId="0" xfId="0" applyNumberFormat="1" applyFont="1" applyFill="1" applyAlignment="1">
      <alignment horizontal="center"/>
    </xf>
    <xf numFmtId="164" fontId="0" fillId="0" borderId="0" xfId="0" applyNumberFormat="1" applyAlignment="1">
      <alignment horizontal="center"/>
    </xf>
    <xf numFmtId="0" fontId="0" fillId="0" borderId="0" xfId="0" pivotButton="1"/>
    <xf numFmtId="0" fontId="0" fillId="0" borderId="0" xfId="0" applyAlignment="1">
      <alignment horizontal="left"/>
    </xf>
    <xf numFmtId="164" fontId="0" fillId="0" borderId="0" xfId="0" applyNumberFormat="1"/>
    <xf numFmtId="164" fontId="0" fillId="5" borderId="0" xfId="0" applyNumberFormat="1" applyFill="1" applyAlignment="1">
      <alignment horizontal="center"/>
    </xf>
    <xf numFmtId="0" fontId="3" fillId="3" borderId="0" xfId="0" applyFont="1" applyFill="1" applyAlignment="1">
      <alignment horizontal="center"/>
    </xf>
    <xf numFmtId="0" fontId="0" fillId="3" borderId="0" xfId="0" applyFill="1" applyAlignment="1">
      <alignment horizontal="center"/>
    </xf>
    <xf numFmtId="0" fontId="2" fillId="4" borderId="0" xfId="0" applyFont="1" applyFill="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4.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[Ecommerce_Dataset.xlsx]pivot_tables!PivotTable2</c:name>
    <c:fmtId val="2"/>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Sales by City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PK"/>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pivot_tables!$B$3</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pivot_tables!$A$4:$A$9</c:f>
              <c:strCache>
                <c:ptCount val="5"/>
                <c:pt idx="0">
                  <c:v>Faisalabad</c:v>
                </c:pt>
                <c:pt idx="1">
                  <c:v>Islamabad</c:v>
                </c:pt>
                <c:pt idx="2">
                  <c:v>Karachi</c:v>
                </c:pt>
                <c:pt idx="3">
                  <c:v>Lahore</c:v>
                </c:pt>
                <c:pt idx="4">
                  <c:v>Multan</c:v>
                </c:pt>
              </c:strCache>
            </c:strRef>
          </c:cat>
          <c:val>
            <c:numRef>
              <c:f>pivot_tables!$B$4:$B$9</c:f>
              <c:numCache>
                <c:formatCode>[$$-C09]#,##0</c:formatCode>
                <c:ptCount val="5"/>
                <c:pt idx="0">
                  <c:v>533135</c:v>
                </c:pt>
                <c:pt idx="1">
                  <c:v>395525</c:v>
                </c:pt>
                <c:pt idx="2">
                  <c:v>403195</c:v>
                </c:pt>
                <c:pt idx="3">
                  <c:v>387505</c:v>
                </c:pt>
                <c:pt idx="4">
                  <c:v>628595</c:v>
                </c:pt>
              </c:numCache>
            </c:numRef>
          </c:val>
          <c:extLst>
            <c:ext xmlns:c16="http://schemas.microsoft.com/office/drawing/2014/chart" uri="{C3380CC4-5D6E-409C-BE32-E72D297353CC}">
              <c16:uniqueId val="{00000000-B0D8-4CBC-9F91-96649649E95C}"/>
            </c:ext>
          </c:extLst>
        </c:ser>
        <c:dLbls>
          <c:showLegendKey val="0"/>
          <c:showVal val="0"/>
          <c:showCatName val="0"/>
          <c:showSerName val="0"/>
          <c:showPercent val="0"/>
          <c:showBubbleSize val="0"/>
        </c:dLbls>
        <c:gapWidth val="150"/>
        <c:shape val="box"/>
        <c:axId val="512358671"/>
        <c:axId val="512360111"/>
        <c:axId val="0"/>
      </c:bar3DChart>
      <c:catAx>
        <c:axId val="51235867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crossAx val="512360111"/>
        <c:crosses val="autoZero"/>
        <c:auto val="1"/>
        <c:lblAlgn val="ctr"/>
        <c:lblOffset val="100"/>
        <c:noMultiLvlLbl val="0"/>
      </c:catAx>
      <c:valAx>
        <c:axId val="512360111"/>
        <c:scaling>
          <c:orientation val="minMax"/>
        </c:scaling>
        <c:delete val="0"/>
        <c:axPos val="l"/>
        <c:numFmt formatCode="[$$-C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crossAx val="512358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1"/>
      </a:solidFill>
      <a:prstDash val="solid"/>
      <a:round/>
    </a:ln>
    <a:effectLst/>
  </c:spPr>
  <c:txPr>
    <a:bodyPr/>
    <a:lstStyle/>
    <a:p>
      <a:pPr>
        <a:defRPr>
          <a:solidFill>
            <a:schemeClr val="dk1"/>
          </a:solidFill>
          <a:latin typeface="+mn-lt"/>
          <a:ea typeface="+mn-ea"/>
          <a:cs typeface="+mn-cs"/>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[Ecommerce_Dataset.xlsx]pivot_tables!PivotTable4</c:name>
    <c:fmtId val="2"/>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Distribution of payment method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doughnutChart>
        <c:varyColors val="1"/>
        <c:ser>
          <c:idx val="0"/>
          <c:order val="0"/>
          <c:tx>
            <c:strRef>
              <c:f>pivot_tables!$B$11</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624B-4EE9-8128-A0F618484D18}"/>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624B-4EE9-8128-A0F618484D18}"/>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624B-4EE9-8128-A0F618484D1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PK"/>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pivot_tables!$A$12:$A$15</c:f>
              <c:strCache>
                <c:ptCount val="3"/>
                <c:pt idx="0">
                  <c:v>Card</c:v>
                </c:pt>
                <c:pt idx="1">
                  <c:v>COD</c:v>
                </c:pt>
                <c:pt idx="2">
                  <c:v>Wallet</c:v>
                </c:pt>
              </c:strCache>
            </c:strRef>
          </c:cat>
          <c:val>
            <c:numRef>
              <c:f>pivot_tables!$B$12:$B$15</c:f>
              <c:numCache>
                <c:formatCode>[$$-C09]#,##0</c:formatCode>
                <c:ptCount val="3"/>
                <c:pt idx="0">
                  <c:v>785550</c:v>
                </c:pt>
                <c:pt idx="1">
                  <c:v>862320</c:v>
                </c:pt>
                <c:pt idx="2">
                  <c:v>700085</c:v>
                </c:pt>
              </c:numCache>
            </c:numRef>
          </c:val>
          <c:extLst>
            <c:ext xmlns:c16="http://schemas.microsoft.com/office/drawing/2014/chart" uri="{C3380CC4-5D6E-409C-BE32-E72D297353CC}">
              <c16:uniqueId val="{00000006-624B-4EE9-8128-A0F618484D1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3"/>
      </a:solidFill>
      <a:prstDash val="solid"/>
      <a:round/>
    </a:ln>
    <a:effectLst/>
  </c:spPr>
  <c:txPr>
    <a:bodyPr/>
    <a:lstStyle/>
    <a:p>
      <a:pPr>
        <a:defRPr>
          <a:solidFill>
            <a:schemeClr val="dk1"/>
          </a:solidFill>
          <a:latin typeface="+mn-lt"/>
          <a:ea typeface="+mn-ea"/>
          <a:cs typeface="+mn-cs"/>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[Ecommerce_Dataset.xlsx]pivot_tables!PivotTable8</c:name>
    <c:fmtId val="2"/>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Sale of Product by Quantity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pivot_tables!$B$18</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pivot_tables!$A$19:$A$26</c:f>
              <c:strCache>
                <c:ptCount val="7"/>
                <c:pt idx="0">
                  <c:v>Dress</c:v>
                </c:pt>
                <c:pt idx="1">
                  <c:v>Handbag</c:v>
                </c:pt>
                <c:pt idx="2">
                  <c:v>Hijab</c:v>
                </c:pt>
                <c:pt idx="3">
                  <c:v>Jacket</c:v>
                </c:pt>
                <c:pt idx="4">
                  <c:v>Jeans</c:v>
                </c:pt>
                <c:pt idx="5">
                  <c:v>Sneakers</c:v>
                </c:pt>
                <c:pt idx="6">
                  <c:v>T-Shirt</c:v>
                </c:pt>
              </c:strCache>
            </c:strRef>
          </c:cat>
          <c:val>
            <c:numRef>
              <c:f>pivot_tables!$B$19:$B$26</c:f>
              <c:numCache>
                <c:formatCode>General</c:formatCode>
                <c:ptCount val="7"/>
                <c:pt idx="0">
                  <c:v>101</c:v>
                </c:pt>
                <c:pt idx="1">
                  <c:v>137</c:v>
                </c:pt>
                <c:pt idx="2">
                  <c:v>126</c:v>
                </c:pt>
                <c:pt idx="3">
                  <c:v>125</c:v>
                </c:pt>
                <c:pt idx="4">
                  <c:v>136</c:v>
                </c:pt>
                <c:pt idx="5">
                  <c:v>136</c:v>
                </c:pt>
                <c:pt idx="6">
                  <c:v>143</c:v>
                </c:pt>
              </c:numCache>
            </c:numRef>
          </c:val>
          <c:extLst>
            <c:ext xmlns:c16="http://schemas.microsoft.com/office/drawing/2014/chart" uri="{C3380CC4-5D6E-409C-BE32-E72D297353CC}">
              <c16:uniqueId val="{00000000-0FE7-444E-B2B4-CBFD4D5E24AE}"/>
            </c:ext>
          </c:extLst>
        </c:ser>
        <c:dLbls>
          <c:showLegendKey val="0"/>
          <c:showVal val="0"/>
          <c:showCatName val="0"/>
          <c:showSerName val="0"/>
          <c:showPercent val="0"/>
          <c:showBubbleSize val="0"/>
        </c:dLbls>
        <c:gapWidth val="150"/>
        <c:shape val="box"/>
        <c:axId val="512413391"/>
        <c:axId val="512410031"/>
        <c:axId val="0"/>
      </c:bar3DChart>
      <c:catAx>
        <c:axId val="51241339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crossAx val="512410031"/>
        <c:crosses val="autoZero"/>
        <c:auto val="1"/>
        <c:lblAlgn val="ctr"/>
        <c:lblOffset val="100"/>
        <c:noMultiLvlLbl val="0"/>
      </c:catAx>
      <c:valAx>
        <c:axId val="5124100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crossAx val="512413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4"/>
      </a:solidFill>
      <a:prstDash val="solid"/>
      <a:round/>
    </a:ln>
    <a:effectLst/>
  </c:spPr>
  <c:txPr>
    <a:bodyPr/>
    <a:lstStyle/>
    <a:p>
      <a:pPr>
        <a:defRPr>
          <a:solidFill>
            <a:schemeClr val="dk1"/>
          </a:solidFill>
          <a:latin typeface="+mn-lt"/>
          <a:ea typeface="+mn-ea"/>
          <a:cs typeface="+mn-cs"/>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[Ecommerce_Dataset.xlsx]pivot_tables!PivotTable3</c:name>
    <c:fmtId val="2"/>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Sales by Category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PK"/>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pivotFmt>
      <c:pivotFmt>
        <c:idx val="8"/>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pivotFmt>
      <c:pivotFmt>
        <c:idx val="9"/>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pivotFmt>
      <c:pivotFmt>
        <c:idx val="1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pieChart>
        <c:varyColors val="1"/>
        <c:ser>
          <c:idx val="0"/>
          <c:order val="0"/>
          <c:tx>
            <c:strRef>
              <c:f>pivot_tables!$E$3</c:f>
              <c:strCache>
                <c:ptCount val="1"/>
                <c:pt idx="0">
                  <c:v>Total</c:v>
                </c:pt>
              </c:strCache>
            </c:strRef>
          </c:tx>
          <c:dPt>
            <c:idx val="0"/>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9086-4662-896D-D6173DEF5DA2}"/>
              </c:ext>
            </c:extLst>
          </c:dPt>
          <c:dPt>
            <c:idx val="1"/>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9086-4662-896D-D6173DEF5DA2}"/>
              </c:ext>
            </c:extLst>
          </c:dPt>
          <c:dPt>
            <c:idx val="2"/>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9086-4662-896D-D6173DEF5DA2}"/>
              </c:ext>
            </c:extLst>
          </c:dPt>
          <c:dPt>
            <c:idx val="3"/>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9086-4662-896D-D6173DEF5DA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PK"/>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pivot_tables!$D$4:$D$8</c:f>
              <c:strCache>
                <c:ptCount val="4"/>
                <c:pt idx="0">
                  <c:v>Accessories</c:v>
                </c:pt>
                <c:pt idx="1">
                  <c:v>Clothing</c:v>
                </c:pt>
                <c:pt idx="2">
                  <c:v>Footwear</c:v>
                </c:pt>
                <c:pt idx="3">
                  <c:v>Women</c:v>
                </c:pt>
              </c:strCache>
            </c:strRef>
          </c:cat>
          <c:val>
            <c:numRef>
              <c:f>pivot_tables!$E$4:$E$8</c:f>
              <c:numCache>
                <c:formatCode>[$$-C09]#,##0</c:formatCode>
                <c:ptCount val="4"/>
                <c:pt idx="0">
                  <c:v>433300</c:v>
                </c:pt>
                <c:pt idx="1">
                  <c:v>1253740</c:v>
                </c:pt>
                <c:pt idx="2">
                  <c:v>558900</c:v>
                </c:pt>
                <c:pt idx="3">
                  <c:v>102015</c:v>
                </c:pt>
              </c:numCache>
            </c:numRef>
          </c:val>
          <c:extLst>
            <c:ext xmlns:c16="http://schemas.microsoft.com/office/drawing/2014/chart" uri="{C3380CC4-5D6E-409C-BE32-E72D297353CC}">
              <c16:uniqueId val="{0000000A-9086-4662-896D-D6173DEF5DA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1"/>
      </a:solidFill>
      <a:prstDash val="solid"/>
      <a:round/>
    </a:ln>
    <a:effectLst/>
  </c:spPr>
  <c:txPr>
    <a:bodyPr/>
    <a:lstStyle/>
    <a:p>
      <a:pPr>
        <a:defRPr>
          <a:solidFill>
            <a:schemeClr val="dk1"/>
          </a:solidFill>
          <a:latin typeface="+mn-lt"/>
          <a:ea typeface="+mn-ea"/>
          <a:cs typeface="+mn-cs"/>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[Ecommerce_Dataset.xlsx]pivot_tables!PivotTable5</c:name>
    <c:fmtId val="2"/>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Sales by Product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pivot_tables!$E$11</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pivot_tables!$D$12:$D$19</c:f>
              <c:strCache>
                <c:ptCount val="7"/>
                <c:pt idx="0">
                  <c:v>Dress</c:v>
                </c:pt>
                <c:pt idx="1">
                  <c:v>Handbag</c:v>
                </c:pt>
                <c:pt idx="2">
                  <c:v>Hijab</c:v>
                </c:pt>
                <c:pt idx="3">
                  <c:v>Jacket</c:v>
                </c:pt>
                <c:pt idx="4">
                  <c:v>Jeans</c:v>
                </c:pt>
                <c:pt idx="5">
                  <c:v>Sneakers</c:v>
                </c:pt>
                <c:pt idx="6">
                  <c:v>T-Shirt</c:v>
                </c:pt>
              </c:strCache>
            </c:strRef>
          </c:cat>
          <c:val>
            <c:numRef>
              <c:f>pivot_tables!$E$12:$E$19</c:f>
              <c:numCache>
                <c:formatCode>[$$-C09]#,##0</c:formatCode>
                <c:ptCount val="7"/>
                <c:pt idx="0">
                  <c:v>256200</c:v>
                </c:pt>
                <c:pt idx="1">
                  <c:v>433300</c:v>
                </c:pt>
                <c:pt idx="2">
                  <c:v>102015</c:v>
                </c:pt>
                <c:pt idx="3">
                  <c:v>577000</c:v>
                </c:pt>
                <c:pt idx="4">
                  <c:v>267300</c:v>
                </c:pt>
                <c:pt idx="5">
                  <c:v>558900</c:v>
                </c:pt>
                <c:pt idx="6">
                  <c:v>153240</c:v>
                </c:pt>
              </c:numCache>
            </c:numRef>
          </c:val>
          <c:extLst>
            <c:ext xmlns:c16="http://schemas.microsoft.com/office/drawing/2014/chart" uri="{C3380CC4-5D6E-409C-BE32-E72D297353CC}">
              <c16:uniqueId val="{00000000-07DB-42EA-A6C5-724C3C77742B}"/>
            </c:ext>
          </c:extLst>
        </c:ser>
        <c:dLbls>
          <c:showLegendKey val="0"/>
          <c:showVal val="0"/>
          <c:showCatName val="0"/>
          <c:showSerName val="0"/>
          <c:showPercent val="0"/>
          <c:showBubbleSize val="0"/>
        </c:dLbls>
        <c:gapWidth val="150"/>
        <c:shape val="box"/>
        <c:axId val="761691359"/>
        <c:axId val="761702879"/>
        <c:axId val="0"/>
      </c:bar3DChart>
      <c:catAx>
        <c:axId val="761691359"/>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crossAx val="761702879"/>
        <c:crosses val="autoZero"/>
        <c:auto val="1"/>
        <c:lblAlgn val="ctr"/>
        <c:lblOffset val="100"/>
        <c:noMultiLvlLbl val="0"/>
      </c:catAx>
      <c:valAx>
        <c:axId val="761702879"/>
        <c:scaling>
          <c:orientation val="minMax"/>
        </c:scaling>
        <c:delete val="0"/>
        <c:axPos val="b"/>
        <c:numFmt formatCode="[$$-C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crossAx val="761691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3"/>
      </a:solidFill>
      <a:prstDash val="solid"/>
      <a:round/>
    </a:ln>
    <a:effectLst/>
  </c:spPr>
  <c:txPr>
    <a:bodyPr/>
    <a:lstStyle/>
    <a:p>
      <a:pPr>
        <a:defRPr>
          <a:solidFill>
            <a:schemeClr val="dk1"/>
          </a:solidFill>
          <a:latin typeface="+mn-lt"/>
          <a:ea typeface="+mn-ea"/>
          <a:cs typeface="+mn-cs"/>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[Ecommerce_Dataset.xlsx]pivot_tables!PivotTable13</c:name>
    <c:fmtId val="2"/>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Total Orders By Product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pivot_tables!$H$11</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pivot_tables!$G$12:$G$19</c:f>
              <c:strCache>
                <c:ptCount val="7"/>
                <c:pt idx="0">
                  <c:v>Dress</c:v>
                </c:pt>
                <c:pt idx="1">
                  <c:v>Handbag</c:v>
                </c:pt>
                <c:pt idx="2">
                  <c:v>Hijab</c:v>
                </c:pt>
                <c:pt idx="3">
                  <c:v>Jacket</c:v>
                </c:pt>
                <c:pt idx="4">
                  <c:v>Jeans</c:v>
                </c:pt>
                <c:pt idx="5">
                  <c:v>Sneakers</c:v>
                </c:pt>
                <c:pt idx="6">
                  <c:v>T-Shirt</c:v>
                </c:pt>
              </c:strCache>
            </c:strRef>
          </c:cat>
          <c:val>
            <c:numRef>
              <c:f>pivot_tables!$H$12:$H$19</c:f>
              <c:numCache>
                <c:formatCode>General</c:formatCode>
                <c:ptCount val="7"/>
                <c:pt idx="0">
                  <c:v>32</c:v>
                </c:pt>
                <c:pt idx="1">
                  <c:v>43</c:v>
                </c:pt>
                <c:pt idx="2">
                  <c:v>44</c:v>
                </c:pt>
                <c:pt idx="3">
                  <c:v>40</c:v>
                </c:pt>
                <c:pt idx="4">
                  <c:v>46</c:v>
                </c:pt>
                <c:pt idx="5">
                  <c:v>42</c:v>
                </c:pt>
                <c:pt idx="6">
                  <c:v>53</c:v>
                </c:pt>
              </c:numCache>
            </c:numRef>
          </c:val>
          <c:extLst>
            <c:ext xmlns:c16="http://schemas.microsoft.com/office/drawing/2014/chart" uri="{C3380CC4-5D6E-409C-BE32-E72D297353CC}">
              <c16:uniqueId val="{00000000-DC5B-4046-8214-DA46BAD3AFA0}"/>
            </c:ext>
          </c:extLst>
        </c:ser>
        <c:dLbls>
          <c:showLegendKey val="0"/>
          <c:showVal val="0"/>
          <c:showCatName val="0"/>
          <c:showSerName val="0"/>
          <c:showPercent val="0"/>
          <c:showBubbleSize val="0"/>
        </c:dLbls>
        <c:gapWidth val="150"/>
        <c:shape val="box"/>
        <c:axId val="512394671"/>
        <c:axId val="512387951"/>
        <c:axId val="0"/>
      </c:bar3DChart>
      <c:catAx>
        <c:axId val="512394671"/>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crossAx val="512387951"/>
        <c:crosses val="autoZero"/>
        <c:auto val="1"/>
        <c:lblAlgn val="ctr"/>
        <c:lblOffset val="100"/>
        <c:noMultiLvlLbl val="0"/>
      </c:catAx>
      <c:valAx>
        <c:axId val="5123879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PK"/>
          </a:p>
        </c:txPr>
        <c:crossAx val="512394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2"/>
      </a:solidFill>
      <a:prstDash val="solid"/>
      <a:round/>
    </a:ln>
    <a:effectLst/>
  </c:spPr>
  <c:txPr>
    <a:bodyPr/>
    <a:lstStyle/>
    <a:p>
      <a:pPr>
        <a:defRPr>
          <a:solidFill>
            <a:schemeClr val="dk1"/>
          </a:solidFill>
          <a:latin typeface="+mn-lt"/>
          <a:ea typeface="+mn-ea"/>
          <a:cs typeface="+mn-cs"/>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33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30</xdr:col>
      <xdr:colOff>254000</xdr:colOff>
      <xdr:row>56</xdr:row>
      <xdr:rowOff>169333</xdr:rowOff>
    </xdr:to>
    <xdr:pic>
      <xdr:nvPicPr>
        <xdr:cNvPr id="2" name="Picture 1">
          <a:extLst>
            <a:ext uri="{FF2B5EF4-FFF2-40B4-BE49-F238E27FC236}">
              <a16:creationId xmlns:a16="http://schemas.microsoft.com/office/drawing/2014/main" id="{826CCD1F-C677-032E-570D-F82ED54500ED}"/>
            </a:ext>
          </a:extLst>
        </xdr:cNvPr>
        <xdr:cNvPicPr>
          <a:picLocks noChangeAspect="1"/>
        </xdr:cNvPicPr>
      </xdr:nvPicPr>
      <xdr:blipFill>
        <a:blip xmlns:r="http://schemas.openxmlformats.org/officeDocument/2006/relationships" r:embed="rId1"/>
        <a:stretch>
          <a:fillRect/>
        </a:stretch>
      </xdr:blipFill>
      <xdr:spPr>
        <a:xfrm>
          <a:off x="0" y="0"/>
          <a:ext cx="19247556" cy="10442222"/>
        </a:xfrm>
        <a:prstGeom prst="rect">
          <a:avLst/>
        </a:prstGeom>
      </xdr:spPr>
    </xdr:pic>
    <xdr:clientData/>
  </xdr:twoCellAnchor>
  <xdr:twoCellAnchor editAs="oneCell">
    <xdr:from>
      <xdr:col>0</xdr:col>
      <xdr:colOff>467916</xdr:colOff>
      <xdr:row>16</xdr:row>
      <xdr:rowOff>8997</xdr:rowOff>
    </xdr:from>
    <xdr:to>
      <xdr:col>1</xdr:col>
      <xdr:colOff>969566</xdr:colOff>
      <xdr:row>25</xdr:row>
      <xdr:rowOff>125413</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E1690A8B-5AC5-4BAF-8DD4-4F89E94C579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467916" y="2887664"/>
              <a:ext cx="1369483" cy="1735666"/>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455789</xdr:colOff>
      <xdr:row>26</xdr:row>
      <xdr:rowOff>38322</xdr:rowOff>
    </xdr:from>
    <xdr:to>
      <xdr:col>1</xdr:col>
      <xdr:colOff>970139</xdr:colOff>
      <xdr:row>32</xdr:row>
      <xdr:rowOff>19844</xdr:rowOff>
    </xdr:to>
    <mc:AlternateContent xmlns:mc="http://schemas.openxmlformats.org/markup-compatibility/2006" xmlns:a14="http://schemas.microsoft.com/office/drawing/2010/main">
      <mc:Choice Requires="a14">
        <xdr:graphicFrame macro="">
          <xdr:nvGraphicFramePr>
            <xdr:cNvPr id="4" name="Payment">
              <a:extLst>
                <a:ext uri="{FF2B5EF4-FFF2-40B4-BE49-F238E27FC236}">
                  <a16:creationId xmlns:a16="http://schemas.microsoft.com/office/drawing/2014/main" id="{95E7A394-B38E-4433-B030-C0627C28237D}"/>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mlns="">
        <xdr:sp macro="" textlink="">
          <xdr:nvSpPr>
            <xdr:cNvPr id="0" name=""/>
            <xdr:cNvSpPr>
              <a:spLocks noTextEdit="1"/>
            </xdr:cNvSpPr>
          </xdr:nvSpPr>
          <xdr:spPr>
            <a:xfrm>
              <a:off x="455789" y="4716155"/>
              <a:ext cx="1382183" cy="1061022"/>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1042855</xdr:colOff>
      <xdr:row>16</xdr:row>
      <xdr:rowOff>7012</xdr:rowOff>
    </xdr:from>
    <xdr:to>
      <xdr:col>4</xdr:col>
      <xdr:colOff>92472</xdr:colOff>
      <xdr:row>23</xdr:row>
      <xdr:rowOff>76862</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7C6542BF-BE24-4A9A-964E-AE268950AAD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910688" y="2885679"/>
              <a:ext cx="1420284" cy="1329266"/>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1074605</xdr:colOff>
      <xdr:row>23</xdr:row>
      <xdr:rowOff>184548</xdr:rowOff>
    </xdr:from>
    <xdr:to>
      <xdr:col>4</xdr:col>
      <xdr:colOff>119063</xdr:colOff>
      <xdr:row>32</xdr:row>
      <xdr:rowOff>9923</xdr:rowOff>
    </xdr:to>
    <mc:AlternateContent xmlns:mc="http://schemas.openxmlformats.org/markup-compatibility/2006" xmlns:a14="http://schemas.microsoft.com/office/drawing/2010/main">
      <mc:Choice Requires="a14">
        <xdr:graphicFrame macro="">
          <xdr:nvGraphicFramePr>
            <xdr:cNvPr id="6" name="Product">
              <a:extLst>
                <a:ext uri="{FF2B5EF4-FFF2-40B4-BE49-F238E27FC236}">
                  <a16:creationId xmlns:a16="http://schemas.microsoft.com/office/drawing/2014/main" id="{F0A121D6-3C1B-46DD-86B8-CE5C4D08B4C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942438" y="4322631"/>
              <a:ext cx="1415125" cy="144462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770295</xdr:colOff>
      <xdr:row>5</xdr:row>
      <xdr:rowOff>50627</xdr:rowOff>
    </xdr:from>
    <xdr:to>
      <xdr:col>3</xdr:col>
      <xdr:colOff>507999</xdr:colOff>
      <xdr:row>8</xdr:row>
      <xdr:rowOff>161896</xdr:rowOff>
    </xdr:to>
    <xdr:sp macro="" textlink="pivot_tables!J16">
      <xdr:nvSpPr>
        <xdr:cNvPr id="7" name="TextBox 6">
          <a:extLst>
            <a:ext uri="{FF2B5EF4-FFF2-40B4-BE49-F238E27FC236}">
              <a16:creationId xmlns:a16="http://schemas.microsoft.com/office/drawing/2014/main" id="{2002D939-34BF-49E5-9D34-C7EA79F00818}"/>
            </a:ext>
          </a:extLst>
        </xdr:cNvPr>
        <xdr:cNvSpPr txBox="1"/>
      </xdr:nvSpPr>
      <xdr:spPr>
        <a:xfrm>
          <a:off x="770295" y="950210"/>
          <a:ext cx="2362371" cy="651019"/>
        </a:xfrm>
        <a:prstGeom prst="rect">
          <a:avLst/>
        </a:prstGeom>
        <a:ln/>
      </xdr:spPr>
      <xdr:style>
        <a:lnRef idx="0">
          <a:schemeClr val="accent2"/>
        </a:lnRef>
        <a:fillRef idx="3">
          <a:schemeClr val="accent2"/>
        </a:fillRef>
        <a:effectRef idx="3">
          <a:schemeClr val="accent2"/>
        </a:effectRef>
        <a:fontRef idx="minor">
          <a:schemeClr val="lt1"/>
        </a:fontRef>
      </xdr:style>
      <xdr:txBody>
        <a:bodyPr vertOverflow="clip" horzOverflow="clip" wrap="square" rtlCol="0" anchor="ctr"/>
        <a:lstStyle/>
        <a:p>
          <a:pPr algn="ctr"/>
          <a:r>
            <a:rPr lang="en-US" sz="1400" b="1" i="0" u="none" strike="noStrike">
              <a:solidFill>
                <a:schemeClr val="bg1"/>
              </a:solidFill>
              <a:latin typeface="Aptos Display" panose="020B0004020202020204" pitchFamily="34" charset="0"/>
              <a:ea typeface="Calibri"/>
              <a:cs typeface="Arial" panose="020B0604020202020204" pitchFamily="34" charset="0"/>
            </a:rPr>
            <a:t>Total</a:t>
          </a:r>
          <a:r>
            <a:rPr lang="en-US" sz="1400" b="1" i="0" u="none" strike="noStrike" baseline="0">
              <a:solidFill>
                <a:schemeClr val="bg1"/>
              </a:solidFill>
              <a:latin typeface="Aptos Display" panose="020B0004020202020204" pitchFamily="34" charset="0"/>
              <a:ea typeface="Calibri"/>
              <a:cs typeface="Arial" panose="020B0604020202020204" pitchFamily="34" charset="0"/>
            </a:rPr>
            <a:t> Revenue   </a:t>
          </a:r>
          <a:fld id="{132F1CDD-5F8F-442C-AEA4-21F88ED5795B}" type="TxLink">
            <a:rPr lang="en-US" sz="1400" b="1" i="0" u="none" strike="noStrike">
              <a:solidFill>
                <a:schemeClr val="bg1"/>
              </a:solidFill>
              <a:latin typeface="Aptos Display" panose="020B0004020202020204" pitchFamily="34" charset="0"/>
              <a:ea typeface="Calibri"/>
              <a:cs typeface="Arial" panose="020B0604020202020204" pitchFamily="34" charset="0"/>
            </a:rPr>
            <a:pPr algn="ctr"/>
            <a:t>$2,347,955</a:t>
          </a:fld>
          <a:endParaRPr lang="en-PK" sz="1400" b="1">
            <a:solidFill>
              <a:schemeClr val="bg1"/>
            </a:solidFill>
            <a:latin typeface="Aptos Display" panose="020B0004020202020204" pitchFamily="34" charset="0"/>
            <a:cs typeface="Arial" panose="020B0604020202020204" pitchFamily="34" charset="0"/>
          </a:endParaRPr>
        </a:p>
      </xdr:txBody>
    </xdr:sp>
    <xdr:clientData/>
  </xdr:twoCellAnchor>
  <xdr:twoCellAnchor>
    <xdr:from>
      <xdr:col>0</xdr:col>
      <xdr:colOff>568067</xdr:colOff>
      <xdr:row>9</xdr:row>
      <xdr:rowOff>82377</xdr:rowOff>
    </xdr:from>
    <xdr:to>
      <xdr:col>1</xdr:col>
      <xdr:colOff>1082362</xdr:colOff>
      <xdr:row>12</xdr:row>
      <xdr:rowOff>176484</xdr:rowOff>
    </xdr:to>
    <xdr:sp macro="" textlink="pivot_tables!K16">
      <xdr:nvSpPr>
        <xdr:cNvPr id="8" name="TextBox 7">
          <a:extLst>
            <a:ext uri="{FF2B5EF4-FFF2-40B4-BE49-F238E27FC236}">
              <a16:creationId xmlns:a16="http://schemas.microsoft.com/office/drawing/2014/main" id="{A4274672-1BCD-EF0B-FF51-4F62748EA136}"/>
            </a:ext>
          </a:extLst>
        </xdr:cNvPr>
        <xdr:cNvSpPr txBox="1"/>
      </xdr:nvSpPr>
      <xdr:spPr>
        <a:xfrm>
          <a:off x="568067" y="1701627"/>
          <a:ext cx="1382128" cy="633857"/>
        </a:xfrm>
        <a:prstGeom prst="rect">
          <a:avLst/>
        </a:prstGeom>
        <a:ln/>
      </xdr:spPr>
      <xdr:style>
        <a:lnRef idx="0">
          <a:schemeClr val="accent2"/>
        </a:lnRef>
        <a:fillRef idx="3">
          <a:schemeClr val="accent2"/>
        </a:fillRef>
        <a:effectRef idx="3">
          <a:schemeClr val="accent2"/>
        </a:effectRef>
        <a:fontRef idx="minor">
          <a:schemeClr val="lt1"/>
        </a:fontRef>
      </xdr:style>
      <xdr:txBody>
        <a:bodyPr vertOverflow="clip" horzOverflow="clip" wrap="square" rtlCol="0" anchor="ctr"/>
        <a:lstStyle/>
        <a:p>
          <a:pPr algn="ctr"/>
          <a:r>
            <a:rPr lang="en-US" sz="1400" b="1" i="0" u="none" strike="noStrike">
              <a:solidFill>
                <a:schemeClr val="bg1"/>
              </a:solidFill>
              <a:latin typeface="Aptos Display" panose="020B0004020202020204" pitchFamily="34" charset="0"/>
              <a:ea typeface="Calibri"/>
              <a:cs typeface="Calibri"/>
            </a:rPr>
            <a:t>Total Quantity</a:t>
          </a:r>
        </a:p>
        <a:p>
          <a:pPr algn="ctr"/>
          <a:fld id="{1613D6B9-568A-4FA3-86D1-A42F91CDC498}" type="TxLink">
            <a:rPr lang="en-US" sz="1400" b="1" i="0" u="none" strike="noStrike">
              <a:solidFill>
                <a:schemeClr val="bg1"/>
              </a:solidFill>
              <a:latin typeface="Aptos Display" panose="020B0004020202020204" pitchFamily="34" charset="0"/>
              <a:ea typeface="Calibri"/>
              <a:cs typeface="Calibri"/>
            </a:rPr>
            <a:pPr algn="ctr"/>
            <a:t>904</a:t>
          </a:fld>
          <a:endParaRPr lang="en-PK" sz="1400" b="1">
            <a:solidFill>
              <a:schemeClr val="bg1"/>
            </a:solidFill>
            <a:latin typeface="Aptos Display" panose="020B0004020202020204" pitchFamily="34" charset="0"/>
          </a:endParaRPr>
        </a:p>
      </xdr:txBody>
    </xdr:sp>
    <xdr:clientData/>
  </xdr:twoCellAnchor>
  <xdr:twoCellAnchor>
    <xdr:from>
      <xdr:col>2</xdr:col>
      <xdr:colOff>38330</xdr:colOff>
      <xdr:row>9</xdr:row>
      <xdr:rowOff>82377</xdr:rowOff>
    </xdr:from>
    <xdr:to>
      <xdr:col>4</xdr:col>
      <xdr:colOff>105833</xdr:colOff>
      <xdr:row>13</xdr:row>
      <xdr:rowOff>0</xdr:rowOff>
    </xdr:to>
    <xdr:sp macro="" textlink="pivot_tables!L16">
      <xdr:nvSpPr>
        <xdr:cNvPr id="9" name="TextBox 8">
          <a:extLst>
            <a:ext uri="{FF2B5EF4-FFF2-40B4-BE49-F238E27FC236}">
              <a16:creationId xmlns:a16="http://schemas.microsoft.com/office/drawing/2014/main" id="{A94E45DC-4197-798B-AC1D-065F77D571A7}"/>
            </a:ext>
          </a:extLst>
        </xdr:cNvPr>
        <xdr:cNvSpPr txBox="1"/>
      </xdr:nvSpPr>
      <xdr:spPr>
        <a:xfrm>
          <a:off x="2049163" y="1701627"/>
          <a:ext cx="1295170" cy="637290"/>
        </a:xfrm>
        <a:prstGeom prst="rect">
          <a:avLst/>
        </a:prstGeom>
        <a:ln/>
      </xdr:spPr>
      <xdr:style>
        <a:lnRef idx="0">
          <a:schemeClr val="accent2"/>
        </a:lnRef>
        <a:fillRef idx="3">
          <a:schemeClr val="accent2"/>
        </a:fillRef>
        <a:effectRef idx="3">
          <a:schemeClr val="accent2"/>
        </a:effectRef>
        <a:fontRef idx="minor">
          <a:schemeClr val="lt1"/>
        </a:fontRef>
      </xdr:style>
      <xdr:txBody>
        <a:bodyPr vertOverflow="clip" horzOverflow="clip" wrap="square" rtlCol="0" anchor="ctr"/>
        <a:lstStyle/>
        <a:p>
          <a:pPr algn="ctr"/>
          <a:r>
            <a:rPr lang="en-US" sz="1400" b="1" i="0" u="none" strike="noStrike">
              <a:solidFill>
                <a:schemeClr val="bg1"/>
              </a:solidFill>
              <a:latin typeface="Aptos Display" panose="020B0004020202020204" pitchFamily="34" charset="0"/>
              <a:ea typeface="Calibri"/>
              <a:cs typeface="Calibri"/>
            </a:rPr>
            <a:t>Total Orders</a:t>
          </a:r>
        </a:p>
        <a:p>
          <a:pPr algn="ctr"/>
          <a:fld id="{915ACBF5-45A4-437D-9204-9DCC7C9772AD}" type="TxLink">
            <a:rPr lang="en-US" sz="1400" b="1" i="0" u="none" strike="noStrike">
              <a:solidFill>
                <a:schemeClr val="bg1"/>
              </a:solidFill>
              <a:latin typeface="Aptos Display" panose="020B0004020202020204" pitchFamily="34" charset="0"/>
              <a:ea typeface="Calibri"/>
              <a:cs typeface="Calibri"/>
            </a:rPr>
            <a:pPr algn="ctr"/>
            <a:t>300</a:t>
          </a:fld>
          <a:endParaRPr lang="en-PK" sz="1400" b="1">
            <a:solidFill>
              <a:schemeClr val="bg1"/>
            </a:solidFill>
            <a:latin typeface="Aptos Display" panose="020B0004020202020204" pitchFamily="34" charset="0"/>
          </a:endParaRPr>
        </a:p>
      </xdr:txBody>
    </xdr:sp>
    <xdr:clientData/>
  </xdr:twoCellAnchor>
  <xdr:twoCellAnchor>
    <xdr:from>
      <xdr:col>4</xdr:col>
      <xdr:colOff>258704</xdr:colOff>
      <xdr:row>5</xdr:row>
      <xdr:rowOff>82315</xdr:rowOff>
    </xdr:from>
    <xdr:to>
      <xdr:col>11</xdr:col>
      <xdr:colOff>583513</xdr:colOff>
      <xdr:row>18</xdr:row>
      <xdr:rowOff>85810</xdr:rowOff>
    </xdr:to>
    <xdr:graphicFrame macro="">
      <xdr:nvGraphicFramePr>
        <xdr:cNvPr id="11" name="Chart 10">
          <a:extLst>
            <a:ext uri="{FF2B5EF4-FFF2-40B4-BE49-F238E27FC236}">
              <a16:creationId xmlns:a16="http://schemas.microsoft.com/office/drawing/2014/main" id="{F3A4939E-756C-499A-96BE-AACEFB9097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70555</xdr:colOff>
      <xdr:row>5</xdr:row>
      <xdr:rowOff>82315</xdr:rowOff>
    </xdr:from>
    <xdr:to>
      <xdr:col>18</xdr:col>
      <xdr:colOff>411574</xdr:colOff>
      <xdr:row>18</xdr:row>
      <xdr:rowOff>105832</xdr:rowOff>
    </xdr:to>
    <xdr:graphicFrame macro="">
      <xdr:nvGraphicFramePr>
        <xdr:cNvPr id="12" name="Chart 11">
          <a:extLst>
            <a:ext uri="{FF2B5EF4-FFF2-40B4-BE49-F238E27FC236}">
              <a16:creationId xmlns:a16="http://schemas.microsoft.com/office/drawing/2014/main" id="{9433CB25-9845-4833-8AAC-808A11A9F5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258704</xdr:colOff>
      <xdr:row>19</xdr:row>
      <xdr:rowOff>26783</xdr:rowOff>
    </xdr:from>
    <xdr:to>
      <xdr:col>11</xdr:col>
      <xdr:colOff>564445</xdr:colOff>
      <xdr:row>32</xdr:row>
      <xdr:rowOff>11759</xdr:rowOff>
    </xdr:to>
    <xdr:graphicFrame macro="">
      <xdr:nvGraphicFramePr>
        <xdr:cNvPr id="13" name="Chart 12">
          <a:extLst>
            <a:ext uri="{FF2B5EF4-FFF2-40B4-BE49-F238E27FC236}">
              <a16:creationId xmlns:a16="http://schemas.microsoft.com/office/drawing/2014/main" id="{2AF4942C-8BE1-4B21-A5C5-A0023B3DF4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56478</xdr:colOff>
      <xdr:row>19</xdr:row>
      <xdr:rowOff>34168</xdr:rowOff>
    </xdr:from>
    <xdr:to>
      <xdr:col>18</xdr:col>
      <xdr:colOff>399815</xdr:colOff>
      <xdr:row>32</xdr:row>
      <xdr:rowOff>23517</xdr:rowOff>
    </xdr:to>
    <xdr:graphicFrame macro="">
      <xdr:nvGraphicFramePr>
        <xdr:cNvPr id="14" name="Chart 13">
          <a:extLst>
            <a:ext uri="{FF2B5EF4-FFF2-40B4-BE49-F238E27FC236}">
              <a16:creationId xmlns:a16="http://schemas.microsoft.com/office/drawing/2014/main" id="{DB8B97C6-BC54-4AF7-9CDE-C1BF3D453D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537641</xdr:colOff>
      <xdr:row>19</xdr:row>
      <xdr:rowOff>61902</xdr:rowOff>
    </xdr:from>
    <xdr:to>
      <xdr:col>26</xdr:col>
      <xdr:colOff>338666</xdr:colOff>
      <xdr:row>32</xdr:row>
      <xdr:rowOff>10584</xdr:rowOff>
    </xdr:to>
    <xdr:graphicFrame macro="">
      <xdr:nvGraphicFramePr>
        <xdr:cNvPr id="15" name="Chart 14">
          <a:extLst>
            <a:ext uri="{FF2B5EF4-FFF2-40B4-BE49-F238E27FC236}">
              <a16:creationId xmlns:a16="http://schemas.microsoft.com/office/drawing/2014/main" id="{BCDD3CDD-A5EC-47CA-8BAC-318DE7ABD2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538574</xdr:colOff>
      <xdr:row>5</xdr:row>
      <xdr:rowOff>72908</xdr:rowOff>
    </xdr:from>
    <xdr:to>
      <xdr:col>26</xdr:col>
      <xdr:colOff>341018</xdr:colOff>
      <xdr:row>18</xdr:row>
      <xdr:rowOff>105834</xdr:rowOff>
    </xdr:to>
    <xdr:graphicFrame macro="">
      <xdr:nvGraphicFramePr>
        <xdr:cNvPr id="16" name="Chart 15">
          <a:extLst>
            <a:ext uri="{FF2B5EF4-FFF2-40B4-BE49-F238E27FC236}">
              <a16:creationId xmlns:a16="http://schemas.microsoft.com/office/drawing/2014/main" id="{BE7EB5F8-1FAF-4B0E-B29A-C4050819D1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232833</xdr:colOff>
      <xdr:row>0</xdr:row>
      <xdr:rowOff>105833</xdr:rowOff>
    </xdr:from>
    <xdr:to>
      <xdr:col>26</xdr:col>
      <xdr:colOff>328084</xdr:colOff>
      <xdr:row>3</xdr:row>
      <xdr:rowOff>95250</xdr:rowOff>
    </xdr:to>
    <xdr:sp macro="" textlink="">
      <xdr:nvSpPr>
        <xdr:cNvPr id="17" name="TextBox 16">
          <a:extLst>
            <a:ext uri="{FF2B5EF4-FFF2-40B4-BE49-F238E27FC236}">
              <a16:creationId xmlns:a16="http://schemas.microsoft.com/office/drawing/2014/main" id="{463FC2E1-8BCE-30B6-67CF-7743CEC9A27F}"/>
            </a:ext>
          </a:extLst>
        </xdr:cNvPr>
        <xdr:cNvSpPr txBox="1"/>
      </xdr:nvSpPr>
      <xdr:spPr>
        <a:xfrm>
          <a:off x="3471333" y="105833"/>
          <a:ext cx="13599584" cy="529167"/>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lnSpc>
              <a:spcPts val="1425"/>
            </a:lnSpc>
            <a:buNone/>
          </a:pPr>
          <a:r>
            <a:rPr lang="en-PK" sz="2400" b="0">
              <a:solidFill>
                <a:schemeClr val="tx1"/>
              </a:solidFill>
              <a:effectLst/>
              <a:latin typeface="Arial Black" panose="020B0A04020102020204" pitchFamily="34" charset="0"/>
            </a:rPr>
            <a:t>📊</a:t>
          </a:r>
          <a:r>
            <a:rPr lang="en-US" sz="2400" b="0">
              <a:solidFill>
                <a:schemeClr val="tx1"/>
              </a:solidFill>
              <a:effectLst/>
              <a:latin typeface="Arial Black" panose="020B0A04020102020204" pitchFamily="34" charset="0"/>
            </a:rPr>
            <a:t>E-Commerce Sales Insights Dashboard</a:t>
          </a:r>
        </a:p>
        <a:p>
          <a:pPr algn="ctr"/>
          <a:endParaRPr lang="en-PK" sz="2400">
            <a:solidFill>
              <a:schemeClr val="tx1"/>
            </a:solidFill>
            <a:latin typeface="Arial Black" panose="020B0A040201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bia Zaheer" refreshedDate="46217.859081249997" createdVersion="8" refreshedVersion="8" minRefreshableVersion="3" recordCount="300" xr:uid="{5CD74268-2649-438F-8F67-0ABEC82FF54D}">
  <cacheSource type="worksheet">
    <worksheetSource ref="A1:K301" sheet="Dataset"/>
  </cacheSource>
  <cacheFields count="11">
    <cacheField name="Order_ID" numFmtId="0">
      <sharedItems containsSemiMixedTypes="0" containsString="0" containsNumber="1" containsInteger="1" minValue="1001" maxValue="1300"/>
    </cacheField>
    <cacheField name="Date" numFmtId="0">
      <sharedItems count="141">
        <s v="2025-06-07"/>
        <s v="2025-02-05"/>
        <s v="2025-06-27"/>
        <s v="2025-05-14"/>
        <s v="2025-03-04"/>
        <s v="2025-05-10"/>
        <s v="2025-03-11"/>
        <s v="2025-03-08"/>
        <s v="2025-03-23"/>
        <s v="2025-03-26"/>
        <s v="2025-04-08"/>
        <s v="2025-06-14"/>
        <s v="2025-05-09"/>
        <s v="2025-02-17"/>
        <s v="2025-04-19"/>
        <s v="2025-01-12"/>
        <s v="2025-03-05"/>
        <s v="2025-01-20"/>
        <s v="2025-01-01"/>
        <s v="2025-05-03"/>
        <s v="2025-03-12"/>
        <s v="2025-01-26"/>
        <s v="2025-02-26"/>
        <s v="2025-05-11"/>
        <s v="2025-04-13"/>
        <s v="2025-04-23"/>
        <s v="2025-03-27"/>
        <s v="2025-04-11"/>
        <s v="2025-02-18"/>
        <s v="2025-05-02"/>
        <s v="2025-06-23"/>
        <s v="2025-04-28"/>
        <s v="2025-04-18"/>
        <s v="2025-05-05"/>
        <s v="2025-05-30"/>
        <s v="2025-02-15"/>
        <s v="2025-03-10"/>
        <s v="2025-05-19"/>
        <s v="2025-06-13"/>
        <s v="2025-06-24"/>
        <s v="2025-03-20"/>
        <s v="2025-05-22"/>
        <s v="2025-06-08"/>
        <s v="2025-03-18"/>
        <s v="2025-02-23"/>
        <s v="2025-03-21"/>
        <s v="2025-06-02"/>
        <s v="2025-01-27"/>
        <s v="2025-02-01"/>
        <s v="2025-04-22"/>
        <s v="2025-05-20"/>
        <s v="2025-02-03"/>
        <s v="2025-06-21"/>
        <s v="2025-03-15"/>
        <s v="2025-02-20"/>
        <s v="2025-05-16"/>
        <s v="2025-03-09"/>
        <s v="2025-06-10"/>
        <s v="2025-06-06"/>
        <s v="2025-04-07"/>
        <s v="2025-05-23"/>
        <s v="2025-02-16"/>
        <s v="2025-06-11"/>
        <s v="2025-03-06"/>
        <s v="2025-05-29"/>
        <s v="2025-01-17"/>
        <s v="2025-06-15"/>
        <s v="2025-05-01"/>
        <s v="2025-02-06"/>
        <s v="2025-03-02"/>
        <s v="2025-06-01"/>
        <s v="2025-04-21"/>
        <s v="2025-04-01"/>
        <s v="2025-06-17"/>
        <s v="2025-06-18"/>
        <s v="2025-06-12"/>
        <s v="2025-02-24"/>
        <s v="2025-01-29"/>
        <s v="2025-01-25"/>
        <s v="2025-02-21"/>
        <s v="2025-02-28"/>
        <s v="2025-06-04"/>
        <s v="2025-06-25"/>
        <s v="2025-01-05"/>
        <s v="2025-04-27"/>
        <s v="2025-03-31"/>
        <s v="2025-01-02"/>
        <s v="2025-04-14"/>
        <s v="2025-04-17"/>
        <s v="2025-02-22"/>
        <s v="2025-05-18"/>
        <s v="2025-03-03"/>
        <s v="2025-04-05"/>
        <s v="2025-06-09"/>
        <s v="2025-06-28"/>
        <s v="2025-01-08"/>
        <s v="2025-01-13"/>
        <s v="2025-03-13"/>
        <s v="2025-02-14"/>
        <s v="2025-05-25"/>
        <s v="2025-02-13"/>
        <s v="2025-03-14"/>
        <s v="2025-06-19"/>
        <s v="2025-06-03"/>
        <s v="2025-03-24"/>
        <s v="2025-03-22"/>
        <s v="2025-04-15"/>
        <s v="2025-04-16"/>
        <s v="2025-04-04"/>
        <s v="2025-03-16"/>
        <s v="2025-04-25"/>
        <s v="2025-01-11"/>
        <s v="2025-01-10"/>
        <s v="2025-05-24"/>
        <s v="2025-01-22"/>
        <s v="2025-01-21"/>
        <s v="2025-01-06"/>
        <s v="2025-06-05"/>
        <s v="2025-02-27"/>
        <s v="2025-01-19"/>
        <s v="2025-04-10"/>
        <s v="2025-01-03"/>
        <s v="2025-06-22"/>
        <s v="2025-01-04"/>
        <s v="2025-04-06"/>
        <s v="2025-03-01"/>
        <s v="2025-01-30"/>
        <s v="2025-05-27"/>
        <s v="2025-01-16"/>
        <s v="2025-02-07"/>
        <s v="2025-04-29"/>
        <s v="2025-06-16"/>
        <s v="2025-04-24"/>
        <s v="2025-01-18"/>
        <s v="2025-05-07"/>
        <s v="2025-06-30"/>
        <s v="2025-05-12"/>
        <s v="2025-03-07"/>
        <s v="2025-01-07"/>
        <s v="2025-01-14"/>
        <s v="2025-05-06"/>
      </sharedItems>
    </cacheField>
    <cacheField name="Customer" numFmtId="0">
      <sharedItems/>
    </cacheField>
    <cacheField name="Product" numFmtId="0">
      <sharedItems count="7">
        <s v="T-Shirt"/>
        <s v="Handbag"/>
        <s v="Jeans"/>
        <s v="Sneakers"/>
        <s v="Dress"/>
        <s v="Jacket"/>
        <s v="Hijab"/>
      </sharedItems>
    </cacheField>
    <cacheField name="Category" numFmtId="0">
      <sharedItems count="4">
        <s v="Clothing"/>
        <s v="Accessories"/>
        <s v="Footwear"/>
        <s v="Women"/>
      </sharedItems>
    </cacheField>
    <cacheField name="Price" numFmtId="164">
      <sharedItems containsSemiMixedTypes="0" containsString="0" containsNumber="1" containsInteger="1" minValue="900" maxValue="5000"/>
    </cacheField>
    <cacheField name="Quantity" numFmtId="0">
      <sharedItems containsSemiMixedTypes="0" containsString="0" containsNumber="1" containsInteger="1" minValue="1" maxValue="5"/>
    </cacheField>
    <cacheField name="Discount_Percent" numFmtId="0">
      <sharedItems containsSemiMixedTypes="0" containsString="0" containsNumber="1" minValue="0" maxValue="0.2"/>
    </cacheField>
    <cacheField name="Total" numFmtId="164">
      <sharedItems containsSemiMixedTypes="0" containsString="0" containsNumber="1" containsInteger="1" minValue="720" maxValue="25000"/>
    </cacheField>
    <cacheField name="City" numFmtId="0">
      <sharedItems count="5">
        <s v="Karachi"/>
        <s v="Multan"/>
        <s v="Faisalabad"/>
        <s v="Islamabad"/>
        <s v="Lahore"/>
      </sharedItems>
    </cacheField>
    <cacheField name="Payment" numFmtId="0">
      <sharedItems count="3">
        <s v="Wallet"/>
        <s v="Card"/>
        <s v="COD"/>
      </sharedItems>
    </cacheField>
  </cacheFields>
  <extLst>
    <ext xmlns:x14="http://schemas.microsoft.com/office/spreadsheetml/2009/9/main" uri="{725AE2AE-9491-48be-B2B4-4EB974FC3084}">
      <x14:pivotCacheDefinition pivotCacheId="176277573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bia Zaheer" refreshedDate="46217.870060648151" createdVersion="8" refreshedVersion="8" minRefreshableVersion="3" recordCount="300" xr:uid="{49E48C23-5A1E-4B8E-B2FA-0F0B7CF8BD17}">
  <cacheSource type="worksheet">
    <worksheetSource ref="A1:K301" sheet="Dataset"/>
  </cacheSource>
  <cacheFields count="11">
    <cacheField name="Order_ID" numFmtId="0">
      <sharedItems containsSemiMixedTypes="0" containsString="0" containsNumber="1" containsInteger="1" minValue="1001" maxValue="1300"/>
    </cacheField>
    <cacheField name="Date" numFmtId="0">
      <sharedItems/>
    </cacheField>
    <cacheField name="Customer" numFmtId="0">
      <sharedItems/>
    </cacheField>
    <cacheField name="Product" numFmtId="0">
      <sharedItems count="7">
        <s v="T-Shirt"/>
        <s v="Handbag"/>
        <s v="Jeans"/>
        <s v="Sneakers"/>
        <s v="Dress"/>
        <s v="Jacket"/>
        <s v="Hijab"/>
      </sharedItems>
    </cacheField>
    <cacheField name="Category" numFmtId="0">
      <sharedItems count="4">
        <s v="Clothing"/>
        <s v="Accessories"/>
        <s v="Footwear"/>
        <s v="Women"/>
      </sharedItems>
    </cacheField>
    <cacheField name="Price" numFmtId="164">
      <sharedItems containsSemiMixedTypes="0" containsString="0" containsNumber="1" containsInteger="1" minValue="900" maxValue="5000"/>
    </cacheField>
    <cacheField name="Quantity" numFmtId="0">
      <sharedItems containsSemiMixedTypes="0" containsString="0" containsNumber="1" containsInteger="1" minValue="1" maxValue="5"/>
    </cacheField>
    <cacheField name="Discount_Percent" numFmtId="0">
      <sharedItems containsSemiMixedTypes="0" containsString="0" containsNumber="1" minValue="0" maxValue="0.2"/>
    </cacheField>
    <cacheField name="Total" numFmtId="164">
      <sharedItems containsSemiMixedTypes="0" containsString="0" containsNumber="1" containsInteger="1" minValue="720" maxValue="25000"/>
    </cacheField>
    <cacheField name="City" numFmtId="0">
      <sharedItems/>
    </cacheField>
    <cacheField name="Payment"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bia Zaheer" refreshedDate="46217.872789814814" createdVersion="8" refreshedVersion="8" minRefreshableVersion="3" recordCount="300" xr:uid="{F8F01F26-2910-4CB8-8A11-E8F19B3B3C83}">
  <cacheSource type="worksheet">
    <worksheetSource ref="A1:K301" sheet="Dataset"/>
  </cacheSource>
  <cacheFields count="11">
    <cacheField name="Order_ID" numFmtId="0">
      <sharedItems containsSemiMixedTypes="0" containsString="0" containsNumber="1" containsInteger="1" minValue="1001" maxValue="1300"/>
    </cacheField>
    <cacheField name="Date" numFmtId="0">
      <sharedItems/>
    </cacheField>
    <cacheField name="Customer" numFmtId="0">
      <sharedItems/>
    </cacheField>
    <cacheField name="Product" numFmtId="0">
      <sharedItems count="7">
        <s v="T-Shirt"/>
        <s v="Handbag"/>
        <s v="Jeans"/>
        <s v="Sneakers"/>
        <s v="Dress"/>
        <s v="Jacket"/>
        <s v="Hijab"/>
      </sharedItems>
    </cacheField>
    <cacheField name="Category" numFmtId="0">
      <sharedItems count="4">
        <s v="Clothing"/>
        <s v="Accessories"/>
        <s v="Footwear"/>
        <s v="Women"/>
      </sharedItems>
    </cacheField>
    <cacheField name="Price" numFmtId="164">
      <sharedItems containsSemiMixedTypes="0" containsString="0" containsNumber="1" containsInteger="1" minValue="900" maxValue="5000"/>
    </cacheField>
    <cacheField name="Quantity" numFmtId="0">
      <sharedItems containsSemiMixedTypes="0" containsString="0" containsNumber="1" containsInteger="1" minValue="1" maxValue="5"/>
    </cacheField>
    <cacheField name="Discount_Percent" numFmtId="0">
      <sharedItems containsSemiMixedTypes="0" containsString="0" containsNumber="1" minValue="0" maxValue="0.2"/>
    </cacheField>
    <cacheField name="Total" numFmtId="164">
      <sharedItems containsSemiMixedTypes="0" containsString="0" containsNumber="1" containsInteger="1" minValue="720" maxValue="25000"/>
    </cacheField>
    <cacheField name="City" numFmtId="0">
      <sharedItems/>
    </cacheField>
    <cacheField name="Payment"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001"/>
    <x v="0"/>
    <s v="Hina"/>
    <x v="0"/>
    <x v="0"/>
    <n v="1200"/>
    <n v="2"/>
    <n v="0.05"/>
    <n v="2280"/>
    <x v="0"/>
    <x v="0"/>
  </r>
  <r>
    <n v="1002"/>
    <x v="1"/>
    <s v="Hina"/>
    <x v="0"/>
    <x v="0"/>
    <n v="1200"/>
    <n v="2"/>
    <n v="0.15"/>
    <n v="2040"/>
    <x v="1"/>
    <x v="1"/>
  </r>
  <r>
    <n v="1003"/>
    <x v="2"/>
    <s v="Hina"/>
    <x v="1"/>
    <x v="1"/>
    <n v="3500"/>
    <n v="4"/>
    <n v="0.1"/>
    <n v="12600"/>
    <x v="1"/>
    <x v="0"/>
  </r>
  <r>
    <n v="1004"/>
    <x v="3"/>
    <s v="Zain"/>
    <x v="2"/>
    <x v="0"/>
    <n v="2200"/>
    <n v="5"/>
    <n v="0.1"/>
    <n v="9900"/>
    <x v="2"/>
    <x v="1"/>
  </r>
  <r>
    <n v="1005"/>
    <x v="4"/>
    <s v="Zain"/>
    <x v="3"/>
    <x v="2"/>
    <n v="4500"/>
    <n v="4"/>
    <n v="0.1"/>
    <n v="16200"/>
    <x v="3"/>
    <x v="0"/>
  </r>
  <r>
    <n v="1006"/>
    <x v="5"/>
    <s v="Sara"/>
    <x v="4"/>
    <x v="0"/>
    <n v="2800"/>
    <n v="3"/>
    <n v="0.05"/>
    <n v="7980"/>
    <x v="3"/>
    <x v="2"/>
  </r>
  <r>
    <n v="1007"/>
    <x v="6"/>
    <s v="Ayesha"/>
    <x v="5"/>
    <x v="0"/>
    <n v="5000"/>
    <n v="2"/>
    <n v="0.15"/>
    <n v="8500"/>
    <x v="0"/>
    <x v="1"/>
  </r>
  <r>
    <n v="1008"/>
    <x v="7"/>
    <s v="Fatima"/>
    <x v="5"/>
    <x v="0"/>
    <n v="5000"/>
    <n v="2"/>
    <n v="0.1"/>
    <n v="9000"/>
    <x v="3"/>
    <x v="0"/>
  </r>
  <r>
    <n v="1009"/>
    <x v="8"/>
    <s v="Zain"/>
    <x v="5"/>
    <x v="0"/>
    <n v="5000"/>
    <n v="4"/>
    <n v="0"/>
    <n v="20000"/>
    <x v="3"/>
    <x v="2"/>
  </r>
  <r>
    <n v="1010"/>
    <x v="9"/>
    <s v="Usman"/>
    <x v="3"/>
    <x v="2"/>
    <n v="4500"/>
    <n v="3"/>
    <n v="0"/>
    <n v="13500"/>
    <x v="3"/>
    <x v="2"/>
  </r>
  <r>
    <n v="1011"/>
    <x v="10"/>
    <s v="Usman"/>
    <x v="1"/>
    <x v="1"/>
    <n v="3500"/>
    <n v="5"/>
    <n v="0.15"/>
    <n v="14875"/>
    <x v="4"/>
    <x v="0"/>
  </r>
  <r>
    <n v="1012"/>
    <x v="11"/>
    <s v="Zain"/>
    <x v="4"/>
    <x v="0"/>
    <n v="2800"/>
    <n v="3"/>
    <n v="0.1"/>
    <n v="7560"/>
    <x v="1"/>
    <x v="2"/>
  </r>
  <r>
    <n v="1013"/>
    <x v="12"/>
    <s v="Noor"/>
    <x v="1"/>
    <x v="1"/>
    <n v="3500"/>
    <n v="3"/>
    <n v="0"/>
    <n v="10500"/>
    <x v="1"/>
    <x v="0"/>
  </r>
  <r>
    <n v="1014"/>
    <x v="13"/>
    <s v="Zain"/>
    <x v="1"/>
    <x v="1"/>
    <n v="3500"/>
    <n v="2"/>
    <n v="0.1"/>
    <n v="6300"/>
    <x v="4"/>
    <x v="0"/>
  </r>
  <r>
    <n v="1015"/>
    <x v="14"/>
    <s v="Bilal"/>
    <x v="0"/>
    <x v="0"/>
    <n v="1200"/>
    <n v="1"/>
    <n v="0.15"/>
    <n v="1020"/>
    <x v="2"/>
    <x v="1"/>
  </r>
  <r>
    <n v="1016"/>
    <x v="15"/>
    <s v="Hina"/>
    <x v="0"/>
    <x v="0"/>
    <n v="1200"/>
    <n v="4"/>
    <n v="0.2"/>
    <n v="3840"/>
    <x v="0"/>
    <x v="2"/>
  </r>
  <r>
    <n v="1017"/>
    <x v="16"/>
    <s v="Ayesha"/>
    <x v="1"/>
    <x v="1"/>
    <n v="3500"/>
    <n v="2"/>
    <n v="0.05"/>
    <n v="6650"/>
    <x v="3"/>
    <x v="2"/>
  </r>
  <r>
    <n v="1018"/>
    <x v="17"/>
    <s v="Ahmed"/>
    <x v="6"/>
    <x v="3"/>
    <n v="900"/>
    <n v="3"/>
    <n v="0.2"/>
    <n v="2160"/>
    <x v="0"/>
    <x v="1"/>
  </r>
  <r>
    <n v="1019"/>
    <x v="18"/>
    <s v="Usman"/>
    <x v="2"/>
    <x v="0"/>
    <n v="2200"/>
    <n v="4"/>
    <n v="0.15"/>
    <n v="7480"/>
    <x v="1"/>
    <x v="0"/>
  </r>
  <r>
    <n v="1020"/>
    <x v="19"/>
    <s v="Usman"/>
    <x v="1"/>
    <x v="1"/>
    <n v="3500"/>
    <n v="3"/>
    <n v="0.2"/>
    <n v="8400"/>
    <x v="0"/>
    <x v="0"/>
  </r>
  <r>
    <n v="1021"/>
    <x v="20"/>
    <s v="Noor"/>
    <x v="3"/>
    <x v="2"/>
    <n v="4500"/>
    <n v="2"/>
    <n v="0"/>
    <n v="9000"/>
    <x v="3"/>
    <x v="1"/>
  </r>
  <r>
    <n v="1022"/>
    <x v="21"/>
    <s v="Ahmed"/>
    <x v="2"/>
    <x v="0"/>
    <n v="2200"/>
    <n v="3"/>
    <n v="0.05"/>
    <n v="6270"/>
    <x v="0"/>
    <x v="0"/>
  </r>
  <r>
    <n v="1023"/>
    <x v="4"/>
    <s v="Ayesha"/>
    <x v="5"/>
    <x v="0"/>
    <n v="5000"/>
    <n v="1"/>
    <n v="0.05"/>
    <n v="4750"/>
    <x v="4"/>
    <x v="1"/>
  </r>
  <r>
    <n v="1024"/>
    <x v="22"/>
    <s v="Ahmed"/>
    <x v="0"/>
    <x v="0"/>
    <n v="1200"/>
    <n v="4"/>
    <n v="0.15"/>
    <n v="4080"/>
    <x v="2"/>
    <x v="1"/>
  </r>
  <r>
    <n v="1025"/>
    <x v="5"/>
    <s v="Sara"/>
    <x v="6"/>
    <x v="3"/>
    <n v="900"/>
    <n v="3"/>
    <n v="0.15"/>
    <n v="2295"/>
    <x v="0"/>
    <x v="1"/>
  </r>
  <r>
    <n v="1026"/>
    <x v="23"/>
    <s v="Noor"/>
    <x v="1"/>
    <x v="1"/>
    <n v="3500"/>
    <n v="3"/>
    <n v="0.1"/>
    <n v="9450"/>
    <x v="1"/>
    <x v="1"/>
  </r>
  <r>
    <n v="1027"/>
    <x v="24"/>
    <s v="Usman"/>
    <x v="4"/>
    <x v="0"/>
    <n v="2800"/>
    <n v="5"/>
    <n v="0.15"/>
    <n v="11900"/>
    <x v="4"/>
    <x v="1"/>
  </r>
  <r>
    <n v="1028"/>
    <x v="25"/>
    <s v="Sara"/>
    <x v="6"/>
    <x v="3"/>
    <n v="900"/>
    <n v="3"/>
    <n v="0"/>
    <n v="2700"/>
    <x v="2"/>
    <x v="1"/>
  </r>
  <r>
    <n v="1029"/>
    <x v="26"/>
    <s v="Fatima"/>
    <x v="2"/>
    <x v="0"/>
    <n v="2200"/>
    <n v="1"/>
    <n v="0.05"/>
    <n v="2090"/>
    <x v="1"/>
    <x v="1"/>
  </r>
  <r>
    <n v="1030"/>
    <x v="16"/>
    <s v="Sara"/>
    <x v="6"/>
    <x v="3"/>
    <n v="900"/>
    <n v="5"/>
    <n v="0.05"/>
    <n v="4275"/>
    <x v="0"/>
    <x v="2"/>
  </r>
  <r>
    <n v="1031"/>
    <x v="23"/>
    <s v="Usman"/>
    <x v="2"/>
    <x v="0"/>
    <n v="2200"/>
    <n v="3"/>
    <n v="0.2"/>
    <n v="5280"/>
    <x v="3"/>
    <x v="1"/>
  </r>
  <r>
    <n v="1032"/>
    <x v="17"/>
    <s v="Bilal"/>
    <x v="5"/>
    <x v="0"/>
    <n v="5000"/>
    <n v="3"/>
    <n v="0.15"/>
    <n v="12750"/>
    <x v="0"/>
    <x v="0"/>
  </r>
  <r>
    <n v="1033"/>
    <x v="27"/>
    <s v="Ali"/>
    <x v="2"/>
    <x v="0"/>
    <n v="2200"/>
    <n v="1"/>
    <n v="0"/>
    <n v="2200"/>
    <x v="0"/>
    <x v="1"/>
  </r>
  <r>
    <n v="1034"/>
    <x v="28"/>
    <s v="Bilal"/>
    <x v="3"/>
    <x v="2"/>
    <n v="4500"/>
    <n v="2"/>
    <n v="0.2"/>
    <n v="7200"/>
    <x v="1"/>
    <x v="0"/>
  </r>
  <r>
    <n v="1035"/>
    <x v="29"/>
    <s v="Usman"/>
    <x v="2"/>
    <x v="0"/>
    <n v="2200"/>
    <n v="1"/>
    <n v="0.1"/>
    <n v="1980"/>
    <x v="3"/>
    <x v="1"/>
  </r>
  <r>
    <n v="1036"/>
    <x v="30"/>
    <s v="Zain"/>
    <x v="5"/>
    <x v="0"/>
    <n v="5000"/>
    <n v="1"/>
    <n v="0.05"/>
    <n v="4750"/>
    <x v="3"/>
    <x v="1"/>
  </r>
  <r>
    <n v="1037"/>
    <x v="31"/>
    <s v="Sara"/>
    <x v="6"/>
    <x v="3"/>
    <n v="900"/>
    <n v="3"/>
    <n v="0.1"/>
    <n v="2430"/>
    <x v="0"/>
    <x v="2"/>
  </r>
  <r>
    <n v="1038"/>
    <x v="32"/>
    <s v="Bilal"/>
    <x v="0"/>
    <x v="0"/>
    <n v="1200"/>
    <n v="5"/>
    <n v="0.05"/>
    <n v="5700"/>
    <x v="3"/>
    <x v="0"/>
  </r>
  <r>
    <n v="1039"/>
    <x v="33"/>
    <s v="Bilal"/>
    <x v="4"/>
    <x v="0"/>
    <n v="2800"/>
    <n v="3"/>
    <n v="0.2"/>
    <n v="6720"/>
    <x v="0"/>
    <x v="0"/>
  </r>
  <r>
    <n v="1040"/>
    <x v="34"/>
    <s v="Fatima"/>
    <x v="0"/>
    <x v="0"/>
    <n v="1200"/>
    <n v="5"/>
    <n v="0.15"/>
    <n v="5100"/>
    <x v="1"/>
    <x v="2"/>
  </r>
  <r>
    <n v="1041"/>
    <x v="35"/>
    <s v="Zain"/>
    <x v="0"/>
    <x v="0"/>
    <n v="1200"/>
    <n v="2"/>
    <n v="0.05"/>
    <n v="2280"/>
    <x v="4"/>
    <x v="1"/>
  </r>
  <r>
    <n v="1042"/>
    <x v="36"/>
    <s v="Fatima"/>
    <x v="1"/>
    <x v="1"/>
    <n v="3500"/>
    <n v="4"/>
    <n v="0.15"/>
    <n v="11900"/>
    <x v="4"/>
    <x v="2"/>
  </r>
  <r>
    <n v="1043"/>
    <x v="37"/>
    <s v="Ahmed"/>
    <x v="6"/>
    <x v="3"/>
    <n v="900"/>
    <n v="1"/>
    <n v="0.05"/>
    <n v="855"/>
    <x v="2"/>
    <x v="2"/>
  </r>
  <r>
    <n v="1044"/>
    <x v="38"/>
    <s v="Usman"/>
    <x v="2"/>
    <x v="0"/>
    <n v="2200"/>
    <n v="3"/>
    <n v="0.2"/>
    <n v="5280"/>
    <x v="4"/>
    <x v="1"/>
  </r>
  <r>
    <n v="1045"/>
    <x v="39"/>
    <s v="Zain"/>
    <x v="5"/>
    <x v="0"/>
    <n v="5000"/>
    <n v="2"/>
    <n v="0.2"/>
    <n v="8000"/>
    <x v="3"/>
    <x v="1"/>
  </r>
  <r>
    <n v="1046"/>
    <x v="40"/>
    <s v="Ali"/>
    <x v="5"/>
    <x v="0"/>
    <n v="5000"/>
    <n v="3"/>
    <n v="0.05"/>
    <n v="14250"/>
    <x v="3"/>
    <x v="2"/>
  </r>
  <r>
    <n v="1047"/>
    <x v="41"/>
    <s v="Noor"/>
    <x v="6"/>
    <x v="3"/>
    <n v="900"/>
    <n v="5"/>
    <n v="0.2"/>
    <n v="3600"/>
    <x v="2"/>
    <x v="2"/>
  </r>
  <r>
    <n v="1048"/>
    <x v="9"/>
    <s v="Hina"/>
    <x v="0"/>
    <x v="0"/>
    <n v="1200"/>
    <n v="3"/>
    <n v="0.1"/>
    <n v="3240"/>
    <x v="0"/>
    <x v="2"/>
  </r>
  <r>
    <n v="1049"/>
    <x v="42"/>
    <s v="Sara"/>
    <x v="0"/>
    <x v="0"/>
    <n v="1200"/>
    <n v="1"/>
    <n v="0.05"/>
    <n v="1140"/>
    <x v="2"/>
    <x v="0"/>
  </r>
  <r>
    <n v="1050"/>
    <x v="43"/>
    <s v="Ayesha"/>
    <x v="4"/>
    <x v="0"/>
    <n v="2800"/>
    <n v="5"/>
    <n v="0.05"/>
    <n v="13300"/>
    <x v="3"/>
    <x v="2"/>
  </r>
  <r>
    <n v="1051"/>
    <x v="44"/>
    <s v="Bilal"/>
    <x v="5"/>
    <x v="0"/>
    <n v="5000"/>
    <n v="4"/>
    <n v="0.1"/>
    <n v="18000"/>
    <x v="4"/>
    <x v="2"/>
  </r>
  <r>
    <n v="1052"/>
    <x v="45"/>
    <s v="Noor"/>
    <x v="1"/>
    <x v="1"/>
    <n v="3500"/>
    <n v="5"/>
    <n v="0.05"/>
    <n v="16625"/>
    <x v="2"/>
    <x v="2"/>
  </r>
  <r>
    <n v="1053"/>
    <x v="46"/>
    <s v="Zain"/>
    <x v="3"/>
    <x v="2"/>
    <n v="4500"/>
    <n v="5"/>
    <n v="0.15"/>
    <n v="19125"/>
    <x v="0"/>
    <x v="1"/>
  </r>
  <r>
    <n v="1054"/>
    <x v="23"/>
    <s v="Hina"/>
    <x v="2"/>
    <x v="0"/>
    <n v="2200"/>
    <n v="1"/>
    <n v="0.15"/>
    <n v="1870"/>
    <x v="1"/>
    <x v="0"/>
  </r>
  <r>
    <n v="1055"/>
    <x v="47"/>
    <s v="Hina"/>
    <x v="5"/>
    <x v="0"/>
    <n v="5000"/>
    <n v="5"/>
    <n v="0"/>
    <n v="25000"/>
    <x v="1"/>
    <x v="0"/>
  </r>
  <r>
    <n v="1056"/>
    <x v="17"/>
    <s v="Bilal"/>
    <x v="5"/>
    <x v="0"/>
    <n v="5000"/>
    <n v="5"/>
    <n v="0.1"/>
    <n v="22500"/>
    <x v="0"/>
    <x v="0"/>
  </r>
  <r>
    <n v="1057"/>
    <x v="48"/>
    <s v="Noor"/>
    <x v="1"/>
    <x v="1"/>
    <n v="3500"/>
    <n v="3"/>
    <n v="0"/>
    <n v="10500"/>
    <x v="2"/>
    <x v="1"/>
  </r>
  <r>
    <n v="1058"/>
    <x v="49"/>
    <s v="Bilal"/>
    <x v="6"/>
    <x v="3"/>
    <n v="900"/>
    <n v="3"/>
    <n v="0.05"/>
    <n v="2565"/>
    <x v="4"/>
    <x v="1"/>
  </r>
  <r>
    <n v="1059"/>
    <x v="50"/>
    <s v="Noor"/>
    <x v="1"/>
    <x v="1"/>
    <n v="3500"/>
    <n v="2"/>
    <n v="0.2"/>
    <n v="5600"/>
    <x v="0"/>
    <x v="1"/>
  </r>
  <r>
    <n v="1060"/>
    <x v="51"/>
    <s v="Zain"/>
    <x v="6"/>
    <x v="3"/>
    <n v="900"/>
    <n v="1"/>
    <n v="0.05"/>
    <n v="855"/>
    <x v="3"/>
    <x v="0"/>
  </r>
  <r>
    <n v="1061"/>
    <x v="34"/>
    <s v="Noor"/>
    <x v="4"/>
    <x v="0"/>
    <n v="2800"/>
    <n v="4"/>
    <n v="0.05"/>
    <n v="10640"/>
    <x v="2"/>
    <x v="0"/>
  </r>
  <r>
    <n v="1062"/>
    <x v="16"/>
    <s v="Sara"/>
    <x v="0"/>
    <x v="0"/>
    <n v="1200"/>
    <n v="2"/>
    <n v="0.2"/>
    <n v="1920"/>
    <x v="1"/>
    <x v="0"/>
  </r>
  <r>
    <n v="1063"/>
    <x v="50"/>
    <s v="Ahmed"/>
    <x v="0"/>
    <x v="0"/>
    <n v="1200"/>
    <n v="4"/>
    <n v="0.05"/>
    <n v="4560"/>
    <x v="4"/>
    <x v="0"/>
  </r>
  <r>
    <n v="1064"/>
    <x v="38"/>
    <s v="Bilal"/>
    <x v="2"/>
    <x v="0"/>
    <n v="2200"/>
    <n v="4"/>
    <n v="0"/>
    <n v="8800"/>
    <x v="2"/>
    <x v="1"/>
  </r>
  <r>
    <n v="1065"/>
    <x v="52"/>
    <s v="Zain"/>
    <x v="2"/>
    <x v="0"/>
    <n v="2200"/>
    <n v="5"/>
    <n v="0.2"/>
    <n v="8800"/>
    <x v="0"/>
    <x v="0"/>
  </r>
  <r>
    <n v="1066"/>
    <x v="53"/>
    <s v="Ali"/>
    <x v="3"/>
    <x v="2"/>
    <n v="4500"/>
    <n v="3"/>
    <n v="0.05"/>
    <n v="12825"/>
    <x v="1"/>
    <x v="2"/>
  </r>
  <r>
    <n v="1067"/>
    <x v="54"/>
    <s v="Bilal"/>
    <x v="4"/>
    <x v="0"/>
    <n v="2800"/>
    <n v="3"/>
    <n v="0.15"/>
    <n v="7140"/>
    <x v="4"/>
    <x v="0"/>
  </r>
  <r>
    <n v="1068"/>
    <x v="55"/>
    <s v="Ayesha"/>
    <x v="0"/>
    <x v="0"/>
    <n v="1200"/>
    <n v="3"/>
    <n v="0"/>
    <n v="3600"/>
    <x v="1"/>
    <x v="1"/>
  </r>
  <r>
    <n v="1069"/>
    <x v="56"/>
    <s v="Bilal"/>
    <x v="6"/>
    <x v="3"/>
    <n v="900"/>
    <n v="3"/>
    <n v="0.15"/>
    <n v="2295"/>
    <x v="4"/>
    <x v="0"/>
  </r>
  <r>
    <n v="1070"/>
    <x v="57"/>
    <s v="Noor"/>
    <x v="1"/>
    <x v="1"/>
    <n v="3500"/>
    <n v="3"/>
    <n v="0.15"/>
    <n v="8925"/>
    <x v="1"/>
    <x v="0"/>
  </r>
  <r>
    <n v="1071"/>
    <x v="9"/>
    <s v="Fatima"/>
    <x v="0"/>
    <x v="0"/>
    <n v="1200"/>
    <n v="3"/>
    <n v="0.15"/>
    <n v="3060"/>
    <x v="2"/>
    <x v="0"/>
  </r>
  <r>
    <n v="1072"/>
    <x v="32"/>
    <s v="Bilal"/>
    <x v="1"/>
    <x v="1"/>
    <n v="3500"/>
    <n v="2"/>
    <n v="0.15"/>
    <n v="5950"/>
    <x v="2"/>
    <x v="2"/>
  </r>
  <r>
    <n v="1073"/>
    <x v="58"/>
    <s v="Ali"/>
    <x v="2"/>
    <x v="0"/>
    <n v="2200"/>
    <n v="2"/>
    <n v="0"/>
    <n v="4400"/>
    <x v="0"/>
    <x v="1"/>
  </r>
  <r>
    <n v="1074"/>
    <x v="59"/>
    <s v="Hina"/>
    <x v="1"/>
    <x v="1"/>
    <n v="3500"/>
    <n v="5"/>
    <n v="0.1"/>
    <n v="15750"/>
    <x v="2"/>
    <x v="1"/>
  </r>
  <r>
    <n v="1075"/>
    <x v="13"/>
    <s v="Usman"/>
    <x v="2"/>
    <x v="0"/>
    <n v="2200"/>
    <n v="2"/>
    <n v="0"/>
    <n v="4400"/>
    <x v="0"/>
    <x v="1"/>
  </r>
  <r>
    <n v="1076"/>
    <x v="36"/>
    <s v="Ahmed"/>
    <x v="5"/>
    <x v="0"/>
    <n v="5000"/>
    <n v="4"/>
    <n v="0.15"/>
    <n v="17000"/>
    <x v="4"/>
    <x v="1"/>
  </r>
  <r>
    <n v="1077"/>
    <x v="27"/>
    <s v="Bilal"/>
    <x v="0"/>
    <x v="0"/>
    <n v="1200"/>
    <n v="5"/>
    <n v="0.05"/>
    <n v="5700"/>
    <x v="3"/>
    <x v="0"/>
  </r>
  <r>
    <n v="1078"/>
    <x v="5"/>
    <s v="Noor"/>
    <x v="3"/>
    <x v="2"/>
    <n v="4500"/>
    <n v="2"/>
    <n v="0.15"/>
    <n v="7650"/>
    <x v="1"/>
    <x v="0"/>
  </r>
  <r>
    <n v="1079"/>
    <x v="60"/>
    <s v="Hina"/>
    <x v="1"/>
    <x v="1"/>
    <n v="3500"/>
    <n v="1"/>
    <n v="0.1"/>
    <n v="3150"/>
    <x v="4"/>
    <x v="2"/>
  </r>
  <r>
    <n v="1080"/>
    <x v="61"/>
    <s v="Bilal"/>
    <x v="3"/>
    <x v="2"/>
    <n v="4500"/>
    <n v="1"/>
    <n v="0"/>
    <n v="4500"/>
    <x v="4"/>
    <x v="0"/>
  </r>
  <r>
    <n v="1081"/>
    <x v="22"/>
    <s v="Hina"/>
    <x v="0"/>
    <x v="0"/>
    <n v="1200"/>
    <n v="2"/>
    <n v="0.1"/>
    <n v="2160"/>
    <x v="0"/>
    <x v="1"/>
  </r>
  <r>
    <n v="1082"/>
    <x v="62"/>
    <s v="Hina"/>
    <x v="2"/>
    <x v="0"/>
    <n v="2200"/>
    <n v="3"/>
    <n v="0.15"/>
    <n v="5610"/>
    <x v="4"/>
    <x v="2"/>
  </r>
  <r>
    <n v="1083"/>
    <x v="63"/>
    <s v="Bilal"/>
    <x v="3"/>
    <x v="2"/>
    <n v="4500"/>
    <n v="3"/>
    <n v="0.1"/>
    <n v="12150"/>
    <x v="3"/>
    <x v="1"/>
  </r>
  <r>
    <n v="1084"/>
    <x v="19"/>
    <s v="Fatima"/>
    <x v="4"/>
    <x v="0"/>
    <n v="2800"/>
    <n v="5"/>
    <n v="0.1"/>
    <n v="12600"/>
    <x v="3"/>
    <x v="1"/>
  </r>
  <r>
    <n v="1085"/>
    <x v="64"/>
    <s v="Noor"/>
    <x v="1"/>
    <x v="1"/>
    <n v="3500"/>
    <n v="5"/>
    <n v="0.1"/>
    <n v="15750"/>
    <x v="2"/>
    <x v="2"/>
  </r>
  <r>
    <n v="1086"/>
    <x v="65"/>
    <s v="Zain"/>
    <x v="0"/>
    <x v="0"/>
    <n v="1200"/>
    <n v="2"/>
    <n v="0.2"/>
    <n v="1920"/>
    <x v="0"/>
    <x v="1"/>
  </r>
  <r>
    <n v="1087"/>
    <x v="39"/>
    <s v="Ahmed"/>
    <x v="6"/>
    <x v="3"/>
    <n v="900"/>
    <n v="1"/>
    <n v="0.05"/>
    <n v="855"/>
    <x v="0"/>
    <x v="0"/>
  </r>
  <r>
    <n v="1088"/>
    <x v="66"/>
    <s v="Noor"/>
    <x v="6"/>
    <x v="3"/>
    <n v="900"/>
    <n v="3"/>
    <n v="0.15"/>
    <n v="2295"/>
    <x v="0"/>
    <x v="1"/>
  </r>
  <r>
    <n v="1089"/>
    <x v="42"/>
    <s v="Usman"/>
    <x v="0"/>
    <x v="0"/>
    <n v="1200"/>
    <n v="1"/>
    <n v="0"/>
    <n v="1200"/>
    <x v="0"/>
    <x v="1"/>
  </r>
  <r>
    <n v="1090"/>
    <x v="49"/>
    <s v="Ahmed"/>
    <x v="5"/>
    <x v="0"/>
    <n v="5000"/>
    <n v="4"/>
    <n v="0.05"/>
    <n v="19000"/>
    <x v="1"/>
    <x v="1"/>
  </r>
  <r>
    <n v="1091"/>
    <x v="67"/>
    <s v="Hina"/>
    <x v="5"/>
    <x v="0"/>
    <n v="5000"/>
    <n v="1"/>
    <n v="0.1"/>
    <n v="4500"/>
    <x v="2"/>
    <x v="1"/>
  </r>
  <r>
    <n v="1092"/>
    <x v="11"/>
    <s v="Sara"/>
    <x v="6"/>
    <x v="3"/>
    <n v="900"/>
    <n v="3"/>
    <n v="0.1"/>
    <n v="2430"/>
    <x v="3"/>
    <x v="0"/>
  </r>
  <r>
    <n v="1093"/>
    <x v="49"/>
    <s v="Ayesha"/>
    <x v="3"/>
    <x v="2"/>
    <n v="4500"/>
    <n v="4"/>
    <n v="0.2"/>
    <n v="14400"/>
    <x v="1"/>
    <x v="0"/>
  </r>
  <r>
    <n v="1094"/>
    <x v="68"/>
    <s v="Usman"/>
    <x v="3"/>
    <x v="2"/>
    <n v="4500"/>
    <n v="3"/>
    <n v="0.05"/>
    <n v="12825"/>
    <x v="1"/>
    <x v="0"/>
  </r>
  <r>
    <n v="1095"/>
    <x v="10"/>
    <s v="Bilal"/>
    <x v="2"/>
    <x v="0"/>
    <n v="2200"/>
    <n v="4"/>
    <n v="0.05"/>
    <n v="8360"/>
    <x v="0"/>
    <x v="1"/>
  </r>
  <r>
    <n v="1096"/>
    <x v="66"/>
    <s v="Noor"/>
    <x v="0"/>
    <x v="0"/>
    <n v="1200"/>
    <n v="5"/>
    <n v="0.05"/>
    <n v="5700"/>
    <x v="3"/>
    <x v="1"/>
  </r>
  <r>
    <n v="1097"/>
    <x v="69"/>
    <s v="Fatima"/>
    <x v="0"/>
    <x v="0"/>
    <n v="1200"/>
    <n v="2"/>
    <n v="0"/>
    <n v="2400"/>
    <x v="1"/>
    <x v="1"/>
  </r>
  <r>
    <n v="1098"/>
    <x v="70"/>
    <s v="Noor"/>
    <x v="3"/>
    <x v="2"/>
    <n v="4500"/>
    <n v="3"/>
    <n v="0.05"/>
    <n v="12825"/>
    <x v="2"/>
    <x v="2"/>
  </r>
  <r>
    <n v="1099"/>
    <x v="8"/>
    <s v="Zain"/>
    <x v="2"/>
    <x v="0"/>
    <n v="2200"/>
    <n v="5"/>
    <n v="0.2"/>
    <n v="8800"/>
    <x v="1"/>
    <x v="0"/>
  </r>
  <r>
    <n v="1100"/>
    <x v="1"/>
    <s v="Noor"/>
    <x v="6"/>
    <x v="3"/>
    <n v="900"/>
    <n v="4"/>
    <n v="0.2"/>
    <n v="2880"/>
    <x v="3"/>
    <x v="1"/>
  </r>
  <r>
    <n v="1101"/>
    <x v="71"/>
    <s v="Ali"/>
    <x v="3"/>
    <x v="2"/>
    <n v="4500"/>
    <n v="1"/>
    <n v="0.1"/>
    <n v="4050"/>
    <x v="1"/>
    <x v="2"/>
  </r>
  <r>
    <n v="1102"/>
    <x v="72"/>
    <s v="Noor"/>
    <x v="6"/>
    <x v="3"/>
    <n v="900"/>
    <n v="3"/>
    <n v="0.05"/>
    <n v="2565"/>
    <x v="3"/>
    <x v="1"/>
  </r>
  <r>
    <n v="1103"/>
    <x v="73"/>
    <s v="Fatima"/>
    <x v="3"/>
    <x v="2"/>
    <n v="4500"/>
    <n v="3"/>
    <n v="0.1"/>
    <n v="12150"/>
    <x v="0"/>
    <x v="1"/>
  </r>
  <r>
    <n v="1104"/>
    <x v="74"/>
    <s v="Ali"/>
    <x v="6"/>
    <x v="3"/>
    <n v="900"/>
    <n v="4"/>
    <n v="0.05"/>
    <n v="3420"/>
    <x v="4"/>
    <x v="0"/>
  </r>
  <r>
    <n v="1105"/>
    <x v="75"/>
    <s v="Hina"/>
    <x v="2"/>
    <x v="0"/>
    <n v="2200"/>
    <n v="5"/>
    <n v="0"/>
    <n v="11000"/>
    <x v="3"/>
    <x v="2"/>
  </r>
  <r>
    <n v="1106"/>
    <x v="23"/>
    <s v="Bilal"/>
    <x v="2"/>
    <x v="0"/>
    <n v="2200"/>
    <n v="2"/>
    <n v="0.05"/>
    <n v="4180"/>
    <x v="2"/>
    <x v="2"/>
  </r>
  <r>
    <n v="1107"/>
    <x v="76"/>
    <s v="Ali"/>
    <x v="6"/>
    <x v="3"/>
    <n v="900"/>
    <n v="1"/>
    <n v="0.1"/>
    <n v="810"/>
    <x v="4"/>
    <x v="2"/>
  </r>
  <r>
    <n v="1108"/>
    <x v="69"/>
    <s v="Ayesha"/>
    <x v="2"/>
    <x v="0"/>
    <n v="2200"/>
    <n v="4"/>
    <n v="0.2"/>
    <n v="7040"/>
    <x v="3"/>
    <x v="2"/>
  </r>
  <r>
    <n v="1109"/>
    <x v="70"/>
    <s v="Ahmed"/>
    <x v="4"/>
    <x v="0"/>
    <n v="2800"/>
    <n v="3"/>
    <n v="0.15"/>
    <n v="7140"/>
    <x v="3"/>
    <x v="2"/>
  </r>
  <r>
    <n v="1110"/>
    <x v="77"/>
    <s v="Ayesha"/>
    <x v="2"/>
    <x v="0"/>
    <n v="2200"/>
    <n v="3"/>
    <n v="0"/>
    <n v="6600"/>
    <x v="4"/>
    <x v="0"/>
  </r>
  <r>
    <n v="1111"/>
    <x v="78"/>
    <s v="Zain"/>
    <x v="0"/>
    <x v="0"/>
    <n v="1200"/>
    <n v="1"/>
    <n v="0.2"/>
    <n v="960"/>
    <x v="3"/>
    <x v="0"/>
  </r>
  <r>
    <n v="1112"/>
    <x v="47"/>
    <s v="Zain"/>
    <x v="5"/>
    <x v="0"/>
    <n v="5000"/>
    <n v="1"/>
    <n v="0.05"/>
    <n v="4750"/>
    <x v="2"/>
    <x v="2"/>
  </r>
  <r>
    <n v="1113"/>
    <x v="55"/>
    <s v="Ali"/>
    <x v="0"/>
    <x v="0"/>
    <n v="1200"/>
    <n v="5"/>
    <n v="0.15"/>
    <n v="5100"/>
    <x v="2"/>
    <x v="2"/>
  </r>
  <r>
    <n v="1114"/>
    <x v="79"/>
    <s v="Hina"/>
    <x v="1"/>
    <x v="1"/>
    <n v="3500"/>
    <n v="5"/>
    <n v="0"/>
    <n v="17500"/>
    <x v="0"/>
    <x v="2"/>
  </r>
  <r>
    <n v="1115"/>
    <x v="47"/>
    <s v="Ali"/>
    <x v="0"/>
    <x v="0"/>
    <n v="1200"/>
    <n v="5"/>
    <n v="0"/>
    <n v="6000"/>
    <x v="2"/>
    <x v="0"/>
  </r>
  <r>
    <n v="1116"/>
    <x v="80"/>
    <s v="Sara"/>
    <x v="2"/>
    <x v="0"/>
    <n v="2200"/>
    <n v="3"/>
    <n v="0.2"/>
    <n v="5280"/>
    <x v="3"/>
    <x v="1"/>
  </r>
  <r>
    <n v="1117"/>
    <x v="81"/>
    <s v="Ahmed"/>
    <x v="0"/>
    <x v="0"/>
    <n v="1200"/>
    <n v="2"/>
    <n v="0.05"/>
    <n v="2280"/>
    <x v="0"/>
    <x v="2"/>
  </r>
  <r>
    <n v="1118"/>
    <x v="82"/>
    <s v="Noor"/>
    <x v="1"/>
    <x v="1"/>
    <n v="3500"/>
    <n v="1"/>
    <n v="0.2"/>
    <n v="2800"/>
    <x v="3"/>
    <x v="0"/>
  </r>
  <r>
    <n v="1119"/>
    <x v="83"/>
    <s v="Ali"/>
    <x v="3"/>
    <x v="2"/>
    <n v="4500"/>
    <n v="2"/>
    <n v="0"/>
    <n v="9000"/>
    <x v="1"/>
    <x v="1"/>
  </r>
  <r>
    <n v="1120"/>
    <x v="83"/>
    <s v="Fatima"/>
    <x v="0"/>
    <x v="0"/>
    <n v="1200"/>
    <n v="1"/>
    <n v="0.05"/>
    <n v="1140"/>
    <x v="4"/>
    <x v="2"/>
  </r>
  <r>
    <n v="1121"/>
    <x v="3"/>
    <s v="Fatima"/>
    <x v="0"/>
    <x v="0"/>
    <n v="1200"/>
    <n v="2"/>
    <n v="0.1"/>
    <n v="2160"/>
    <x v="3"/>
    <x v="1"/>
  </r>
  <r>
    <n v="1122"/>
    <x v="84"/>
    <s v="Sara"/>
    <x v="3"/>
    <x v="2"/>
    <n v="4500"/>
    <n v="1"/>
    <n v="0.15"/>
    <n v="3825"/>
    <x v="2"/>
    <x v="1"/>
  </r>
  <r>
    <n v="1123"/>
    <x v="85"/>
    <s v="Hina"/>
    <x v="5"/>
    <x v="0"/>
    <n v="5000"/>
    <n v="5"/>
    <n v="0.1"/>
    <n v="22500"/>
    <x v="2"/>
    <x v="0"/>
  </r>
  <r>
    <n v="1124"/>
    <x v="61"/>
    <s v="Usman"/>
    <x v="3"/>
    <x v="2"/>
    <n v="4500"/>
    <n v="2"/>
    <n v="0"/>
    <n v="9000"/>
    <x v="2"/>
    <x v="1"/>
  </r>
  <r>
    <n v="1125"/>
    <x v="21"/>
    <s v="Usman"/>
    <x v="2"/>
    <x v="0"/>
    <n v="2200"/>
    <n v="3"/>
    <n v="0.15"/>
    <n v="5610"/>
    <x v="4"/>
    <x v="1"/>
  </r>
  <r>
    <n v="1126"/>
    <x v="86"/>
    <s v="Noor"/>
    <x v="2"/>
    <x v="0"/>
    <n v="2200"/>
    <n v="4"/>
    <n v="0.15"/>
    <n v="7480"/>
    <x v="2"/>
    <x v="2"/>
  </r>
  <r>
    <n v="1127"/>
    <x v="2"/>
    <s v="Ali"/>
    <x v="0"/>
    <x v="0"/>
    <n v="1200"/>
    <n v="3"/>
    <n v="0.2"/>
    <n v="2880"/>
    <x v="1"/>
    <x v="0"/>
  </r>
  <r>
    <n v="1128"/>
    <x v="87"/>
    <s v="Bilal"/>
    <x v="0"/>
    <x v="0"/>
    <n v="1200"/>
    <n v="2"/>
    <n v="0.15"/>
    <n v="2040"/>
    <x v="3"/>
    <x v="1"/>
  </r>
  <r>
    <n v="1129"/>
    <x v="88"/>
    <s v="Hina"/>
    <x v="4"/>
    <x v="0"/>
    <n v="2800"/>
    <n v="2"/>
    <n v="0.05"/>
    <n v="5320"/>
    <x v="1"/>
    <x v="2"/>
  </r>
  <r>
    <n v="1130"/>
    <x v="50"/>
    <s v="Usman"/>
    <x v="0"/>
    <x v="0"/>
    <n v="1200"/>
    <n v="1"/>
    <n v="0.2"/>
    <n v="960"/>
    <x v="0"/>
    <x v="2"/>
  </r>
  <r>
    <n v="1131"/>
    <x v="89"/>
    <s v="Usman"/>
    <x v="4"/>
    <x v="0"/>
    <n v="2800"/>
    <n v="4"/>
    <n v="0.15"/>
    <n v="9520"/>
    <x v="4"/>
    <x v="2"/>
  </r>
  <r>
    <n v="1132"/>
    <x v="11"/>
    <s v="Hina"/>
    <x v="0"/>
    <x v="0"/>
    <n v="1200"/>
    <n v="5"/>
    <n v="0.05"/>
    <n v="5700"/>
    <x v="4"/>
    <x v="0"/>
  </r>
  <r>
    <n v="1133"/>
    <x v="30"/>
    <s v="Noor"/>
    <x v="2"/>
    <x v="0"/>
    <n v="2200"/>
    <n v="2"/>
    <n v="0.2"/>
    <n v="3520"/>
    <x v="1"/>
    <x v="0"/>
  </r>
  <r>
    <n v="1134"/>
    <x v="90"/>
    <s v="Ayesha"/>
    <x v="0"/>
    <x v="0"/>
    <n v="1200"/>
    <n v="2"/>
    <n v="0.2"/>
    <n v="1920"/>
    <x v="3"/>
    <x v="0"/>
  </r>
  <r>
    <n v="1135"/>
    <x v="73"/>
    <s v="Sara"/>
    <x v="0"/>
    <x v="0"/>
    <n v="1200"/>
    <n v="2"/>
    <n v="0.15"/>
    <n v="2040"/>
    <x v="2"/>
    <x v="1"/>
  </r>
  <r>
    <n v="1136"/>
    <x v="71"/>
    <s v="Noor"/>
    <x v="2"/>
    <x v="0"/>
    <n v="2200"/>
    <n v="1"/>
    <n v="0.15"/>
    <n v="1870"/>
    <x v="4"/>
    <x v="1"/>
  </r>
  <r>
    <n v="1137"/>
    <x v="9"/>
    <s v="Ali"/>
    <x v="6"/>
    <x v="3"/>
    <n v="900"/>
    <n v="2"/>
    <n v="0.05"/>
    <n v="1710"/>
    <x v="3"/>
    <x v="1"/>
  </r>
  <r>
    <n v="1138"/>
    <x v="91"/>
    <s v="Usman"/>
    <x v="1"/>
    <x v="1"/>
    <n v="3500"/>
    <n v="1"/>
    <n v="0"/>
    <n v="3500"/>
    <x v="1"/>
    <x v="2"/>
  </r>
  <r>
    <n v="1139"/>
    <x v="92"/>
    <s v="Bilal"/>
    <x v="1"/>
    <x v="1"/>
    <n v="3500"/>
    <n v="5"/>
    <n v="0"/>
    <n v="17500"/>
    <x v="2"/>
    <x v="0"/>
  </r>
  <r>
    <n v="1140"/>
    <x v="93"/>
    <s v="Zain"/>
    <x v="4"/>
    <x v="0"/>
    <n v="2800"/>
    <n v="5"/>
    <n v="0.05"/>
    <n v="13300"/>
    <x v="1"/>
    <x v="1"/>
  </r>
  <r>
    <n v="1141"/>
    <x v="94"/>
    <s v="Fatima"/>
    <x v="6"/>
    <x v="3"/>
    <n v="900"/>
    <n v="4"/>
    <n v="0.05"/>
    <n v="3420"/>
    <x v="1"/>
    <x v="1"/>
  </r>
  <r>
    <n v="1142"/>
    <x v="95"/>
    <s v="Zain"/>
    <x v="3"/>
    <x v="2"/>
    <n v="4500"/>
    <n v="5"/>
    <n v="0.1"/>
    <n v="20250"/>
    <x v="2"/>
    <x v="1"/>
  </r>
  <r>
    <n v="1143"/>
    <x v="96"/>
    <s v="Ahmed"/>
    <x v="1"/>
    <x v="1"/>
    <n v="3500"/>
    <n v="1"/>
    <n v="0"/>
    <n v="3500"/>
    <x v="3"/>
    <x v="0"/>
  </r>
  <r>
    <n v="1144"/>
    <x v="72"/>
    <s v="Sara"/>
    <x v="2"/>
    <x v="0"/>
    <n v="2200"/>
    <n v="5"/>
    <n v="0.05"/>
    <n v="10450"/>
    <x v="3"/>
    <x v="2"/>
  </r>
  <r>
    <n v="1145"/>
    <x v="88"/>
    <s v="Hina"/>
    <x v="4"/>
    <x v="0"/>
    <n v="2800"/>
    <n v="1"/>
    <n v="0.05"/>
    <n v="2660"/>
    <x v="3"/>
    <x v="2"/>
  </r>
  <r>
    <n v="1146"/>
    <x v="97"/>
    <s v="Zain"/>
    <x v="0"/>
    <x v="0"/>
    <n v="1200"/>
    <n v="4"/>
    <n v="0.1"/>
    <n v="4320"/>
    <x v="0"/>
    <x v="2"/>
  </r>
  <r>
    <n v="1147"/>
    <x v="98"/>
    <s v="Noor"/>
    <x v="5"/>
    <x v="0"/>
    <n v="5000"/>
    <n v="4"/>
    <n v="0"/>
    <n v="20000"/>
    <x v="2"/>
    <x v="2"/>
  </r>
  <r>
    <n v="1148"/>
    <x v="14"/>
    <s v="Bilal"/>
    <x v="6"/>
    <x v="3"/>
    <n v="900"/>
    <n v="1"/>
    <n v="0.15"/>
    <n v="765"/>
    <x v="3"/>
    <x v="0"/>
  </r>
  <r>
    <n v="1149"/>
    <x v="12"/>
    <s v="Usman"/>
    <x v="0"/>
    <x v="0"/>
    <n v="1200"/>
    <n v="3"/>
    <n v="0.1"/>
    <n v="3240"/>
    <x v="0"/>
    <x v="0"/>
  </r>
  <r>
    <n v="1150"/>
    <x v="7"/>
    <s v="Bilal"/>
    <x v="5"/>
    <x v="0"/>
    <n v="5000"/>
    <n v="2"/>
    <n v="0.05"/>
    <n v="9500"/>
    <x v="0"/>
    <x v="2"/>
  </r>
  <r>
    <n v="1151"/>
    <x v="99"/>
    <s v="Hina"/>
    <x v="0"/>
    <x v="0"/>
    <n v="1200"/>
    <n v="1"/>
    <n v="0.1"/>
    <n v="1080"/>
    <x v="4"/>
    <x v="2"/>
  </r>
  <r>
    <n v="1152"/>
    <x v="100"/>
    <s v="Zain"/>
    <x v="0"/>
    <x v="0"/>
    <n v="1200"/>
    <n v="1"/>
    <n v="0.2"/>
    <n v="960"/>
    <x v="2"/>
    <x v="0"/>
  </r>
  <r>
    <n v="1153"/>
    <x v="101"/>
    <s v="Noor"/>
    <x v="4"/>
    <x v="0"/>
    <n v="2800"/>
    <n v="4"/>
    <n v="0.15"/>
    <n v="9520"/>
    <x v="1"/>
    <x v="2"/>
  </r>
  <r>
    <n v="1154"/>
    <x v="98"/>
    <s v="Hina"/>
    <x v="4"/>
    <x v="0"/>
    <n v="2800"/>
    <n v="1"/>
    <n v="0.05"/>
    <n v="2660"/>
    <x v="0"/>
    <x v="1"/>
  </r>
  <r>
    <n v="1155"/>
    <x v="75"/>
    <s v="Usman"/>
    <x v="2"/>
    <x v="0"/>
    <n v="2200"/>
    <n v="4"/>
    <n v="0.15"/>
    <n v="7480"/>
    <x v="2"/>
    <x v="0"/>
  </r>
  <r>
    <n v="1156"/>
    <x v="69"/>
    <s v="Sara"/>
    <x v="2"/>
    <x v="0"/>
    <n v="2200"/>
    <n v="1"/>
    <n v="0.05"/>
    <n v="2090"/>
    <x v="1"/>
    <x v="2"/>
  </r>
  <r>
    <n v="1157"/>
    <x v="102"/>
    <s v="Sara"/>
    <x v="1"/>
    <x v="1"/>
    <n v="3500"/>
    <n v="2"/>
    <n v="0.2"/>
    <n v="5600"/>
    <x v="1"/>
    <x v="2"/>
  </r>
  <r>
    <n v="1158"/>
    <x v="93"/>
    <s v="Bilal"/>
    <x v="3"/>
    <x v="2"/>
    <n v="4500"/>
    <n v="4"/>
    <n v="0.1"/>
    <n v="16200"/>
    <x v="3"/>
    <x v="2"/>
  </r>
  <r>
    <n v="1159"/>
    <x v="103"/>
    <s v="Hina"/>
    <x v="3"/>
    <x v="2"/>
    <n v="4500"/>
    <n v="1"/>
    <n v="0.2"/>
    <n v="3600"/>
    <x v="4"/>
    <x v="2"/>
  </r>
  <r>
    <n v="1160"/>
    <x v="83"/>
    <s v="Ayesha"/>
    <x v="5"/>
    <x v="0"/>
    <n v="5000"/>
    <n v="3"/>
    <n v="0.1"/>
    <n v="13500"/>
    <x v="0"/>
    <x v="0"/>
  </r>
  <r>
    <n v="1161"/>
    <x v="79"/>
    <s v="Ahmed"/>
    <x v="0"/>
    <x v="0"/>
    <n v="1200"/>
    <n v="3"/>
    <n v="0.2"/>
    <n v="2880"/>
    <x v="1"/>
    <x v="0"/>
  </r>
  <r>
    <n v="1162"/>
    <x v="93"/>
    <s v="Usman"/>
    <x v="2"/>
    <x v="0"/>
    <n v="2200"/>
    <n v="4"/>
    <n v="0.15"/>
    <n v="7480"/>
    <x v="4"/>
    <x v="0"/>
  </r>
  <r>
    <n v="1163"/>
    <x v="104"/>
    <s v="Bilal"/>
    <x v="3"/>
    <x v="2"/>
    <n v="4500"/>
    <n v="2"/>
    <n v="0.1"/>
    <n v="8100"/>
    <x v="3"/>
    <x v="2"/>
  </r>
  <r>
    <n v="1164"/>
    <x v="105"/>
    <s v="Sara"/>
    <x v="2"/>
    <x v="0"/>
    <n v="2200"/>
    <n v="1"/>
    <n v="0.2"/>
    <n v="1760"/>
    <x v="0"/>
    <x v="0"/>
  </r>
  <r>
    <n v="1165"/>
    <x v="9"/>
    <s v="Ali"/>
    <x v="1"/>
    <x v="1"/>
    <n v="3500"/>
    <n v="4"/>
    <n v="0.1"/>
    <n v="12600"/>
    <x v="4"/>
    <x v="2"/>
  </r>
  <r>
    <n v="1166"/>
    <x v="106"/>
    <s v="Sara"/>
    <x v="0"/>
    <x v="0"/>
    <n v="1200"/>
    <n v="1"/>
    <n v="0"/>
    <n v="1200"/>
    <x v="1"/>
    <x v="1"/>
  </r>
  <r>
    <n v="1167"/>
    <x v="39"/>
    <s v="Zain"/>
    <x v="2"/>
    <x v="0"/>
    <n v="2200"/>
    <n v="4"/>
    <n v="0.15"/>
    <n v="7480"/>
    <x v="4"/>
    <x v="0"/>
  </r>
  <r>
    <n v="1168"/>
    <x v="5"/>
    <s v="Usman"/>
    <x v="5"/>
    <x v="0"/>
    <n v="5000"/>
    <n v="2"/>
    <n v="0.15"/>
    <n v="8500"/>
    <x v="3"/>
    <x v="1"/>
  </r>
  <r>
    <n v="1169"/>
    <x v="100"/>
    <s v="Bilal"/>
    <x v="1"/>
    <x v="1"/>
    <n v="3500"/>
    <n v="3"/>
    <n v="0.1"/>
    <n v="9450"/>
    <x v="1"/>
    <x v="1"/>
  </r>
  <r>
    <n v="1170"/>
    <x v="7"/>
    <s v="Ali"/>
    <x v="6"/>
    <x v="3"/>
    <n v="900"/>
    <n v="1"/>
    <n v="0.1"/>
    <n v="810"/>
    <x v="2"/>
    <x v="0"/>
  </r>
  <r>
    <n v="1171"/>
    <x v="107"/>
    <s v="Hina"/>
    <x v="5"/>
    <x v="0"/>
    <n v="5000"/>
    <n v="3"/>
    <n v="0.05"/>
    <n v="14250"/>
    <x v="1"/>
    <x v="2"/>
  </r>
  <r>
    <n v="1172"/>
    <x v="108"/>
    <s v="Sara"/>
    <x v="0"/>
    <x v="0"/>
    <n v="1200"/>
    <n v="3"/>
    <n v="0"/>
    <n v="3600"/>
    <x v="2"/>
    <x v="2"/>
  </r>
  <r>
    <n v="1173"/>
    <x v="109"/>
    <s v="Zain"/>
    <x v="3"/>
    <x v="2"/>
    <n v="4500"/>
    <n v="5"/>
    <n v="0.05"/>
    <n v="21375"/>
    <x v="1"/>
    <x v="2"/>
  </r>
  <r>
    <n v="1174"/>
    <x v="110"/>
    <s v="Ali"/>
    <x v="4"/>
    <x v="0"/>
    <n v="2800"/>
    <n v="3"/>
    <n v="0.15"/>
    <n v="7140"/>
    <x v="1"/>
    <x v="1"/>
  </r>
  <r>
    <n v="1175"/>
    <x v="111"/>
    <s v="Hina"/>
    <x v="6"/>
    <x v="3"/>
    <n v="900"/>
    <n v="4"/>
    <n v="0.15"/>
    <n v="3060"/>
    <x v="2"/>
    <x v="2"/>
  </r>
  <r>
    <n v="1176"/>
    <x v="62"/>
    <s v="Zain"/>
    <x v="1"/>
    <x v="1"/>
    <n v="3500"/>
    <n v="2"/>
    <n v="0.15"/>
    <n v="5950"/>
    <x v="0"/>
    <x v="1"/>
  </r>
  <r>
    <n v="1177"/>
    <x v="82"/>
    <s v="Ayesha"/>
    <x v="4"/>
    <x v="0"/>
    <n v="2800"/>
    <n v="3"/>
    <n v="0.2"/>
    <n v="6720"/>
    <x v="0"/>
    <x v="1"/>
  </r>
  <r>
    <n v="1178"/>
    <x v="81"/>
    <s v="Ayesha"/>
    <x v="1"/>
    <x v="1"/>
    <n v="3500"/>
    <n v="5"/>
    <n v="0.15"/>
    <n v="14875"/>
    <x v="1"/>
    <x v="1"/>
  </r>
  <r>
    <n v="1179"/>
    <x v="66"/>
    <s v="Noor"/>
    <x v="2"/>
    <x v="0"/>
    <n v="2200"/>
    <n v="2"/>
    <n v="0"/>
    <n v="4400"/>
    <x v="4"/>
    <x v="2"/>
  </r>
  <r>
    <n v="1180"/>
    <x v="89"/>
    <s v="Fatima"/>
    <x v="5"/>
    <x v="0"/>
    <n v="5000"/>
    <n v="5"/>
    <n v="0"/>
    <n v="25000"/>
    <x v="4"/>
    <x v="1"/>
  </r>
  <r>
    <n v="1181"/>
    <x v="62"/>
    <s v="Hina"/>
    <x v="0"/>
    <x v="0"/>
    <n v="1200"/>
    <n v="3"/>
    <n v="0.1"/>
    <n v="3240"/>
    <x v="0"/>
    <x v="0"/>
  </r>
  <r>
    <n v="1182"/>
    <x v="96"/>
    <s v="Fatima"/>
    <x v="4"/>
    <x v="0"/>
    <n v="2800"/>
    <n v="3"/>
    <n v="0"/>
    <n v="8400"/>
    <x v="1"/>
    <x v="2"/>
  </r>
  <r>
    <n v="1183"/>
    <x v="111"/>
    <s v="Bilal"/>
    <x v="5"/>
    <x v="0"/>
    <n v="5000"/>
    <n v="4"/>
    <n v="0"/>
    <n v="20000"/>
    <x v="1"/>
    <x v="2"/>
  </r>
  <r>
    <n v="1184"/>
    <x v="73"/>
    <s v="Sara"/>
    <x v="5"/>
    <x v="0"/>
    <n v="5000"/>
    <n v="3"/>
    <n v="0"/>
    <n v="15000"/>
    <x v="2"/>
    <x v="0"/>
  </r>
  <r>
    <n v="1185"/>
    <x v="112"/>
    <s v="Sara"/>
    <x v="6"/>
    <x v="3"/>
    <n v="900"/>
    <n v="2"/>
    <n v="0"/>
    <n v="1800"/>
    <x v="3"/>
    <x v="2"/>
  </r>
  <r>
    <n v="1186"/>
    <x v="52"/>
    <s v="Fatima"/>
    <x v="5"/>
    <x v="0"/>
    <n v="5000"/>
    <n v="2"/>
    <n v="0.15"/>
    <n v="8500"/>
    <x v="4"/>
    <x v="2"/>
  </r>
  <r>
    <n v="1187"/>
    <x v="79"/>
    <s v="Usman"/>
    <x v="4"/>
    <x v="0"/>
    <n v="2800"/>
    <n v="4"/>
    <n v="0"/>
    <n v="11200"/>
    <x v="4"/>
    <x v="0"/>
  </r>
  <r>
    <n v="1188"/>
    <x v="23"/>
    <s v="Noor"/>
    <x v="3"/>
    <x v="2"/>
    <n v="4500"/>
    <n v="1"/>
    <n v="0.1"/>
    <n v="4050"/>
    <x v="0"/>
    <x v="0"/>
  </r>
  <r>
    <n v="1189"/>
    <x v="113"/>
    <s v="Zain"/>
    <x v="2"/>
    <x v="0"/>
    <n v="2200"/>
    <n v="3"/>
    <n v="0.1"/>
    <n v="5940"/>
    <x v="2"/>
    <x v="1"/>
  </r>
  <r>
    <n v="1190"/>
    <x v="1"/>
    <s v="Usman"/>
    <x v="3"/>
    <x v="2"/>
    <n v="4500"/>
    <n v="4"/>
    <n v="0.05"/>
    <n v="17100"/>
    <x v="4"/>
    <x v="2"/>
  </r>
  <r>
    <n v="1191"/>
    <x v="87"/>
    <s v="Noor"/>
    <x v="4"/>
    <x v="0"/>
    <n v="2800"/>
    <n v="1"/>
    <n v="0"/>
    <n v="2800"/>
    <x v="3"/>
    <x v="1"/>
  </r>
  <r>
    <n v="1192"/>
    <x v="82"/>
    <s v="Zain"/>
    <x v="0"/>
    <x v="0"/>
    <n v="1200"/>
    <n v="5"/>
    <n v="0.15"/>
    <n v="5100"/>
    <x v="1"/>
    <x v="1"/>
  </r>
  <r>
    <n v="1193"/>
    <x v="92"/>
    <s v="Sara"/>
    <x v="4"/>
    <x v="0"/>
    <n v="2800"/>
    <n v="4"/>
    <n v="0.15"/>
    <n v="9520"/>
    <x v="0"/>
    <x v="0"/>
  </r>
  <r>
    <n v="1194"/>
    <x v="39"/>
    <s v="Usman"/>
    <x v="0"/>
    <x v="0"/>
    <n v="1200"/>
    <n v="4"/>
    <n v="0.05"/>
    <n v="4560"/>
    <x v="1"/>
    <x v="0"/>
  </r>
  <r>
    <n v="1195"/>
    <x v="114"/>
    <s v="Usman"/>
    <x v="2"/>
    <x v="0"/>
    <n v="2200"/>
    <n v="2"/>
    <n v="0.05"/>
    <n v="4180"/>
    <x v="3"/>
    <x v="2"/>
  </r>
  <r>
    <n v="1196"/>
    <x v="84"/>
    <s v="Noor"/>
    <x v="5"/>
    <x v="0"/>
    <n v="5000"/>
    <n v="4"/>
    <n v="0"/>
    <n v="20000"/>
    <x v="4"/>
    <x v="1"/>
  </r>
  <r>
    <n v="1197"/>
    <x v="65"/>
    <s v="Hina"/>
    <x v="5"/>
    <x v="0"/>
    <n v="5000"/>
    <n v="1"/>
    <n v="0"/>
    <n v="5000"/>
    <x v="1"/>
    <x v="2"/>
  </r>
  <r>
    <n v="1198"/>
    <x v="115"/>
    <s v="Zain"/>
    <x v="0"/>
    <x v="0"/>
    <n v="1200"/>
    <n v="1"/>
    <n v="0.1"/>
    <n v="1080"/>
    <x v="4"/>
    <x v="2"/>
  </r>
  <r>
    <n v="1199"/>
    <x v="116"/>
    <s v="Ahmed"/>
    <x v="6"/>
    <x v="3"/>
    <n v="900"/>
    <n v="5"/>
    <n v="0"/>
    <n v="4500"/>
    <x v="0"/>
    <x v="1"/>
  </r>
  <r>
    <n v="1200"/>
    <x v="117"/>
    <s v="Fatima"/>
    <x v="1"/>
    <x v="1"/>
    <n v="3500"/>
    <n v="4"/>
    <n v="0.15"/>
    <n v="11900"/>
    <x v="2"/>
    <x v="2"/>
  </r>
  <r>
    <n v="1201"/>
    <x v="82"/>
    <s v="Usman"/>
    <x v="2"/>
    <x v="0"/>
    <n v="2200"/>
    <n v="5"/>
    <n v="0.15"/>
    <n v="9350"/>
    <x v="3"/>
    <x v="1"/>
  </r>
  <r>
    <n v="1202"/>
    <x v="118"/>
    <s v="Fatima"/>
    <x v="1"/>
    <x v="1"/>
    <n v="3500"/>
    <n v="4"/>
    <n v="0.05"/>
    <n v="13300"/>
    <x v="3"/>
    <x v="1"/>
  </r>
  <r>
    <n v="1203"/>
    <x v="76"/>
    <s v="Bilal"/>
    <x v="6"/>
    <x v="3"/>
    <n v="900"/>
    <n v="1"/>
    <n v="0.1"/>
    <n v="810"/>
    <x v="1"/>
    <x v="2"/>
  </r>
  <r>
    <n v="1204"/>
    <x v="119"/>
    <s v="Usman"/>
    <x v="6"/>
    <x v="3"/>
    <n v="900"/>
    <n v="4"/>
    <n v="0.15"/>
    <n v="3060"/>
    <x v="1"/>
    <x v="2"/>
  </r>
  <r>
    <n v="1205"/>
    <x v="120"/>
    <s v="Ayesha"/>
    <x v="6"/>
    <x v="3"/>
    <n v="900"/>
    <n v="1"/>
    <n v="0"/>
    <n v="900"/>
    <x v="2"/>
    <x v="2"/>
  </r>
  <r>
    <n v="1206"/>
    <x v="121"/>
    <s v="Fatima"/>
    <x v="1"/>
    <x v="1"/>
    <n v="3500"/>
    <n v="1"/>
    <n v="0.15"/>
    <n v="2975"/>
    <x v="3"/>
    <x v="0"/>
  </r>
  <r>
    <n v="1207"/>
    <x v="100"/>
    <s v="Fatima"/>
    <x v="0"/>
    <x v="0"/>
    <n v="1200"/>
    <n v="3"/>
    <n v="0.1"/>
    <n v="3240"/>
    <x v="4"/>
    <x v="1"/>
  </r>
  <r>
    <n v="1208"/>
    <x v="0"/>
    <s v="Bilal"/>
    <x v="0"/>
    <x v="0"/>
    <n v="1200"/>
    <n v="3"/>
    <n v="0.1"/>
    <n v="3240"/>
    <x v="3"/>
    <x v="0"/>
  </r>
  <r>
    <n v="1209"/>
    <x v="122"/>
    <s v="Zain"/>
    <x v="6"/>
    <x v="3"/>
    <n v="900"/>
    <n v="1"/>
    <n v="0.15"/>
    <n v="765"/>
    <x v="4"/>
    <x v="2"/>
  </r>
  <r>
    <n v="1210"/>
    <x v="119"/>
    <s v="Ali"/>
    <x v="5"/>
    <x v="0"/>
    <n v="5000"/>
    <n v="4"/>
    <n v="0.15"/>
    <n v="17000"/>
    <x v="0"/>
    <x v="0"/>
  </r>
  <r>
    <n v="1211"/>
    <x v="76"/>
    <s v="Fatima"/>
    <x v="6"/>
    <x v="3"/>
    <n v="900"/>
    <n v="5"/>
    <n v="0"/>
    <n v="4500"/>
    <x v="3"/>
    <x v="1"/>
  </r>
  <r>
    <n v="1212"/>
    <x v="16"/>
    <s v="Usman"/>
    <x v="3"/>
    <x v="2"/>
    <n v="4500"/>
    <n v="5"/>
    <n v="0.2"/>
    <n v="18000"/>
    <x v="1"/>
    <x v="0"/>
  </r>
  <r>
    <n v="1213"/>
    <x v="88"/>
    <s v="Fatima"/>
    <x v="4"/>
    <x v="0"/>
    <n v="2800"/>
    <n v="1"/>
    <n v="0.15"/>
    <n v="2380"/>
    <x v="4"/>
    <x v="0"/>
  </r>
  <r>
    <n v="1214"/>
    <x v="72"/>
    <s v="Ali"/>
    <x v="3"/>
    <x v="2"/>
    <n v="4500"/>
    <n v="1"/>
    <n v="0.2"/>
    <n v="3600"/>
    <x v="1"/>
    <x v="1"/>
  </r>
  <r>
    <n v="1215"/>
    <x v="114"/>
    <s v="Usman"/>
    <x v="1"/>
    <x v="1"/>
    <n v="3500"/>
    <n v="2"/>
    <n v="0.15"/>
    <n v="5950"/>
    <x v="2"/>
    <x v="2"/>
  </r>
  <r>
    <n v="1216"/>
    <x v="87"/>
    <s v="Ayesha"/>
    <x v="3"/>
    <x v="2"/>
    <n v="4500"/>
    <n v="4"/>
    <n v="0"/>
    <n v="18000"/>
    <x v="2"/>
    <x v="2"/>
  </r>
  <r>
    <n v="1217"/>
    <x v="110"/>
    <s v="Zain"/>
    <x v="1"/>
    <x v="1"/>
    <n v="3500"/>
    <n v="3"/>
    <n v="0"/>
    <n v="10500"/>
    <x v="4"/>
    <x v="2"/>
  </r>
  <r>
    <n v="1218"/>
    <x v="123"/>
    <s v="Noor"/>
    <x v="1"/>
    <x v="1"/>
    <n v="3500"/>
    <n v="4"/>
    <n v="0.1"/>
    <n v="12600"/>
    <x v="1"/>
    <x v="2"/>
  </r>
  <r>
    <n v="1219"/>
    <x v="77"/>
    <s v="Bilal"/>
    <x v="6"/>
    <x v="3"/>
    <n v="900"/>
    <n v="3"/>
    <n v="0.15"/>
    <n v="2295"/>
    <x v="3"/>
    <x v="0"/>
  </r>
  <r>
    <n v="1220"/>
    <x v="57"/>
    <s v="Fatima"/>
    <x v="5"/>
    <x v="0"/>
    <n v="5000"/>
    <n v="2"/>
    <n v="0.05"/>
    <n v="9500"/>
    <x v="4"/>
    <x v="1"/>
  </r>
  <r>
    <n v="1221"/>
    <x v="119"/>
    <s v="Ayesha"/>
    <x v="0"/>
    <x v="0"/>
    <n v="1200"/>
    <n v="1"/>
    <n v="0.2"/>
    <n v="960"/>
    <x v="0"/>
    <x v="2"/>
  </r>
  <r>
    <n v="1222"/>
    <x v="56"/>
    <s v="Hina"/>
    <x v="5"/>
    <x v="0"/>
    <n v="5000"/>
    <n v="3"/>
    <n v="0.1"/>
    <n v="13500"/>
    <x v="4"/>
    <x v="2"/>
  </r>
  <r>
    <n v="1223"/>
    <x v="42"/>
    <s v="Ali"/>
    <x v="2"/>
    <x v="0"/>
    <n v="2200"/>
    <n v="1"/>
    <n v="0.05"/>
    <n v="2090"/>
    <x v="2"/>
    <x v="1"/>
  </r>
  <r>
    <n v="1224"/>
    <x v="124"/>
    <s v="Ahmed"/>
    <x v="3"/>
    <x v="2"/>
    <n v="4500"/>
    <n v="5"/>
    <n v="0.05"/>
    <n v="21375"/>
    <x v="2"/>
    <x v="2"/>
  </r>
  <r>
    <n v="1225"/>
    <x v="125"/>
    <s v="Noor"/>
    <x v="2"/>
    <x v="0"/>
    <n v="2200"/>
    <n v="2"/>
    <n v="0.2"/>
    <n v="3520"/>
    <x v="3"/>
    <x v="0"/>
  </r>
  <r>
    <n v="1226"/>
    <x v="67"/>
    <s v="Ayesha"/>
    <x v="6"/>
    <x v="3"/>
    <n v="900"/>
    <n v="5"/>
    <n v="0.2"/>
    <n v="3600"/>
    <x v="0"/>
    <x v="1"/>
  </r>
  <r>
    <n v="1227"/>
    <x v="117"/>
    <s v="Usman"/>
    <x v="6"/>
    <x v="3"/>
    <n v="900"/>
    <n v="1"/>
    <n v="0"/>
    <n v="900"/>
    <x v="3"/>
    <x v="1"/>
  </r>
  <r>
    <n v="1228"/>
    <x v="42"/>
    <s v="Sara"/>
    <x v="0"/>
    <x v="0"/>
    <n v="1200"/>
    <n v="4"/>
    <n v="0.2"/>
    <n v="3840"/>
    <x v="2"/>
    <x v="1"/>
  </r>
  <r>
    <n v="1229"/>
    <x v="126"/>
    <s v="Ali"/>
    <x v="6"/>
    <x v="3"/>
    <n v="900"/>
    <n v="2"/>
    <n v="0.1"/>
    <n v="1620"/>
    <x v="2"/>
    <x v="0"/>
  </r>
  <r>
    <n v="1230"/>
    <x v="127"/>
    <s v="Fatima"/>
    <x v="5"/>
    <x v="0"/>
    <n v="5000"/>
    <n v="5"/>
    <n v="0"/>
    <n v="25000"/>
    <x v="3"/>
    <x v="1"/>
  </r>
  <r>
    <n v="1231"/>
    <x v="128"/>
    <s v="Sara"/>
    <x v="4"/>
    <x v="0"/>
    <n v="2800"/>
    <n v="1"/>
    <n v="0.1"/>
    <n v="2520"/>
    <x v="0"/>
    <x v="2"/>
  </r>
  <r>
    <n v="1232"/>
    <x v="86"/>
    <s v="Ayesha"/>
    <x v="6"/>
    <x v="3"/>
    <n v="900"/>
    <n v="2"/>
    <n v="0.05"/>
    <n v="1710"/>
    <x v="1"/>
    <x v="1"/>
  </r>
  <r>
    <n v="1233"/>
    <x v="21"/>
    <s v="Noor"/>
    <x v="1"/>
    <x v="1"/>
    <n v="3500"/>
    <n v="1"/>
    <n v="0.05"/>
    <n v="3325"/>
    <x v="3"/>
    <x v="2"/>
  </r>
  <r>
    <n v="1234"/>
    <x v="129"/>
    <s v="Bilal"/>
    <x v="2"/>
    <x v="0"/>
    <n v="2200"/>
    <n v="4"/>
    <n v="0"/>
    <n v="8800"/>
    <x v="1"/>
    <x v="1"/>
  </r>
  <r>
    <n v="1235"/>
    <x v="104"/>
    <s v="Fatima"/>
    <x v="4"/>
    <x v="0"/>
    <n v="2800"/>
    <n v="4"/>
    <n v="0.05"/>
    <n v="10640"/>
    <x v="0"/>
    <x v="2"/>
  </r>
  <r>
    <n v="1236"/>
    <x v="0"/>
    <s v="Ayesha"/>
    <x v="5"/>
    <x v="0"/>
    <n v="5000"/>
    <n v="5"/>
    <n v="0.1"/>
    <n v="22500"/>
    <x v="2"/>
    <x v="1"/>
  </r>
  <r>
    <n v="1237"/>
    <x v="16"/>
    <s v="Ayesha"/>
    <x v="6"/>
    <x v="3"/>
    <n v="900"/>
    <n v="5"/>
    <n v="0.1"/>
    <n v="4050"/>
    <x v="3"/>
    <x v="1"/>
  </r>
  <r>
    <n v="1238"/>
    <x v="19"/>
    <s v="Ayesha"/>
    <x v="1"/>
    <x v="1"/>
    <n v="3500"/>
    <n v="5"/>
    <n v="0.15"/>
    <n v="14875"/>
    <x v="0"/>
    <x v="2"/>
  </r>
  <r>
    <n v="1239"/>
    <x v="130"/>
    <s v="Fatima"/>
    <x v="1"/>
    <x v="1"/>
    <n v="3500"/>
    <n v="4"/>
    <n v="0.05"/>
    <n v="13300"/>
    <x v="2"/>
    <x v="1"/>
  </r>
  <r>
    <n v="1240"/>
    <x v="92"/>
    <s v="Ayesha"/>
    <x v="5"/>
    <x v="0"/>
    <n v="5000"/>
    <n v="2"/>
    <n v="0.2"/>
    <n v="8000"/>
    <x v="1"/>
    <x v="2"/>
  </r>
  <r>
    <n v="1241"/>
    <x v="131"/>
    <s v="Fatima"/>
    <x v="6"/>
    <x v="3"/>
    <n v="900"/>
    <n v="3"/>
    <n v="0.05"/>
    <n v="2565"/>
    <x v="0"/>
    <x v="0"/>
  </r>
  <r>
    <n v="1242"/>
    <x v="118"/>
    <s v="Ayesha"/>
    <x v="6"/>
    <x v="3"/>
    <n v="900"/>
    <n v="5"/>
    <n v="0.05"/>
    <n v="4275"/>
    <x v="0"/>
    <x v="2"/>
  </r>
  <r>
    <n v="1243"/>
    <x v="107"/>
    <s v="Ahmed"/>
    <x v="4"/>
    <x v="0"/>
    <n v="2800"/>
    <n v="1"/>
    <n v="0.15"/>
    <n v="2380"/>
    <x v="4"/>
    <x v="2"/>
  </r>
  <r>
    <n v="1244"/>
    <x v="132"/>
    <s v="Noor"/>
    <x v="4"/>
    <x v="0"/>
    <n v="2800"/>
    <n v="3"/>
    <n v="0.05"/>
    <n v="7980"/>
    <x v="1"/>
    <x v="1"/>
  </r>
  <r>
    <n v="1245"/>
    <x v="106"/>
    <s v="Hina"/>
    <x v="2"/>
    <x v="0"/>
    <n v="2200"/>
    <n v="4"/>
    <n v="0.1"/>
    <n v="7920"/>
    <x v="1"/>
    <x v="2"/>
  </r>
  <r>
    <n v="1246"/>
    <x v="30"/>
    <s v="Sara"/>
    <x v="1"/>
    <x v="1"/>
    <n v="3500"/>
    <n v="5"/>
    <n v="0.1"/>
    <n v="15750"/>
    <x v="2"/>
    <x v="2"/>
  </r>
  <r>
    <n v="1247"/>
    <x v="49"/>
    <s v="Ayesha"/>
    <x v="3"/>
    <x v="2"/>
    <n v="4500"/>
    <n v="3"/>
    <n v="0.1"/>
    <n v="12150"/>
    <x v="1"/>
    <x v="2"/>
  </r>
  <r>
    <n v="1248"/>
    <x v="112"/>
    <s v="Bilal"/>
    <x v="1"/>
    <x v="1"/>
    <n v="3500"/>
    <n v="2"/>
    <n v="0"/>
    <n v="7000"/>
    <x v="3"/>
    <x v="1"/>
  </r>
  <r>
    <n v="1249"/>
    <x v="133"/>
    <s v="Fatima"/>
    <x v="6"/>
    <x v="3"/>
    <n v="900"/>
    <n v="2"/>
    <n v="0"/>
    <n v="1800"/>
    <x v="4"/>
    <x v="0"/>
  </r>
  <r>
    <n v="1250"/>
    <x v="94"/>
    <s v="Usman"/>
    <x v="0"/>
    <x v="0"/>
    <n v="1200"/>
    <n v="4"/>
    <n v="0.2"/>
    <n v="3840"/>
    <x v="3"/>
    <x v="1"/>
  </r>
  <r>
    <n v="1251"/>
    <x v="121"/>
    <s v="Ahmed"/>
    <x v="2"/>
    <x v="0"/>
    <n v="2200"/>
    <n v="1"/>
    <n v="0.1"/>
    <n v="1980"/>
    <x v="4"/>
    <x v="2"/>
  </r>
  <r>
    <n v="1252"/>
    <x v="6"/>
    <s v="Bilal"/>
    <x v="1"/>
    <x v="1"/>
    <n v="3500"/>
    <n v="1"/>
    <n v="0.15"/>
    <n v="2975"/>
    <x v="3"/>
    <x v="2"/>
  </r>
  <r>
    <n v="1253"/>
    <x v="79"/>
    <s v="Bilal"/>
    <x v="5"/>
    <x v="0"/>
    <n v="5000"/>
    <n v="4"/>
    <n v="0.1"/>
    <n v="18000"/>
    <x v="2"/>
    <x v="1"/>
  </r>
  <r>
    <n v="1254"/>
    <x v="90"/>
    <s v="Hina"/>
    <x v="6"/>
    <x v="3"/>
    <n v="900"/>
    <n v="4"/>
    <n v="0.2"/>
    <n v="2880"/>
    <x v="0"/>
    <x v="1"/>
  </r>
  <r>
    <n v="1255"/>
    <x v="19"/>
    <s v="Ayesha"/>
    <x v="4"/>
    <x v="0"/>
    <n v="2800"/>
    <n v="5"/>
    <n v="0"/>
    <n v="14000"/>
    <x v="0"/>
    <x v="0"/>
  </r>
  <r>
    <n v="1256"/>
    <x v="118"/>
    <s v="Fatima"/>
    <x v="0"/>
    <x v="0"/>
    <n v="1200"/>
    <n v="1"/>
    <n v="0.05"/>
    <n v="1140"/>
    <x v="4"/>
    <x v="0"/>
  </r>
  <r>
    <n v="1257"/>
    <x v="38"/>
    <s v="Usman"/>
    <x v="3"/>
    <x v="2"/>
    <n v="4500"/>
    <n v="4"/>
    <n v="0"/>
    <n v="18000"/>
    <x v="4"/>
    <x v="0"/>
  </r>
  <r>
    <n v="1258"/>
    <x v="129"/>
    <s v="Noor"/>
    <x v="2"/>
    <x v="0"/>
    <n v="2200"/>
    <n v="3"/>
    <n v="0.2"/>
    <n v="5280"/>
    <x v="3"/>
    <x v="1"/>
  </r>
  <r>
    <n v="1259"/>
    <x v="12"/>
    <s v="Ali"/>
    <x v="0"/>
    <x v="0"/>
    <n v="1200"/>
    <n v="1"/>
    <n v="0.1"/>
    <n v="1080"/>
    <x v="4"/>
    <x v="0"/>
  </r>
  <r>
    <n v="1260"/>
    <x v="5"/>
    <s v="Hina"/>
    <x v="6"/>
    <x v="3"/>
    <n v="900"/>
    <n v="1"/>
    <n v="0.2"/>
    <n v="720"/>
    <x v="1"/>
    <x v="2"/>
  </r>
  <r>
    <n v="1261"/>
    <x v="98"/>
    <s v="Noor"/>
    <x v="4"/>
    <x v="0"/>
    <n v="2800"/>
    <n v="2"/>
    <n v="0.2"/>
    <n v="4480"/>
    <x v="4"/>
    <x v="0"/>
  </r>
  <r>
    <n v="1262"/>
    <x v="35"/>
    <s v="Noor"/>
    <x v="3"/>
    <x v="2"/>
    <n v="4500"/>
    <n v="3"/>
    <n v="0.15"/>
    <n v="11475"/>
    <x v="0"/>
    <x v="2"/>
  </r>
  <r>
    <n v="1263"/>
    <x v="134"/>
    <s v="Bilal"/>
    <x v="2"/>
    <x v="0"/>
    <n v="2200"/>
    <n v="4"/>
    <n v="0.05"/>
    <n v="8360"/>
    <x v="2"/>
    <x v="1"/>
  </r>
  <r>
    <n v="1264"/>
    <x v="37"/>
    <s v="Usman"/>
    <x v="3"/>
    <x v="2"/>
    <n v="4500"/>
    <n v="4"/>
    <n v="0.15"/>
    <n v="15300"/>
    <x v="1"/>
    <x v="2"/>
  </r>
  <r>
    <n v="1265"/>
    <x v="120"/>
    <s v="Ahmed"/>
    <x v="2"/>
    <x v="0"/>
    <n v="2200"/>
    <n v="2"/>
    <n v="0.15"/>
    <n v="3740"/>
    <x v="4"/>
    <x v="2"/>
  </r>
  <r>
    <n v="1266"/>
    <x v="77"/>
    <s v="Usman"/>
    <x v="5"/>
    <x v="0"/>
    <n v="5000"/>
    <n v="3"/>
    <n v="0.2"/>
    <n v="12000"/>
    <x v="4"/>
    <x v="1"/>
  </r>
  <r>
    <n v="1267"/>
    <x v="40"/>
    <s v="Noor"/>
    <x v="3"/>
    <x v="2"/>
    <n v="4500"/>
    <n v="4"/>
    <n v="0.1"/>
    <n v="16200"/>
    <x v="0"/>
    <x v="1"/>
  </r>
  <r>
    <n v="1268"/>
    <x v="90"/>
    <s v="Fatima"/>
    <x v="2"/>
    <x v="0"/>
    <n v="2200"/>
    <n v="5"/>
    <n v="0"/>
    <n v="11000"/>
    <x v="4"/>
    <x v="1"/>
  </r>
  <r>
    <n v="1269"/>
    <x v="90"/>
    <s v="Fatima"/>
    <x v="1"/>
    <x v="1"/>
    <n v="3500"/>
    <n v="4"/>
    <n v="0.1"/>
    <n v="12600"/>
    <x v="0"/>
    <x v="0"/>
  </r>
  <r>
    <n v="1270"/>
    <x v="106"/>
    <s v="Sara"/>
    <x v="3"/>
    <x v="2"/>
    <n v="4500"/>
    <n v="4"/>
    <n v="0.05"/>
    <n v="17100"/>
    <x v="1"/>
    <x v="1"/>
  </r>
  <r>
    <n v="1271"/>
    <x v="6"/>
    <s v="Zain"/>
    <x v="6"/>
    <x v="3"/>
    <n v="900"/>
    <n v="3"/>
    <n v="0.15"/>
    <n v="2295"/>
    <x v="1"/>
    <x v="1"/>
  </r>
  <r>
    <n v="1272"/>
    <x v="3"/>
    <s v="Ali"/>
    <x v="4"/>
    <x v="0"/>
    <n v="2800"/>
    <n v="5"/>
    <n v="0.05"/>
    <n v="13300"/>
    <x v="2"/>
    <x v="1"/>
  </r>
  <r>
    <n v="1273"/>
    <x v="135"/>
    <s v="Sara"/>
    <x v="5"/>
    <x v="0"/>
    <n v="5000"/>
    <n v="5"/>
    <n v="0.2"/>
    <n v="20000"/>
    <x v="0"/>
    <x v="2"/>
  </r>
  <r>
    <n v="1274"/>
    <x v="27"/>
    <s v="Noor"/>
    <x v="3"/>
    <x v="2"/>
    <n v="4500"/>
    <n v="5"/>
    <n v="0.05"/>
    <n v="21375"/>
    <x v="2"/>
    <x v="0"/>
  </r>
  <r>
    <n v="1275"/>
    <x v="97"/>
    <s v="Ahmed"/>
    <x v="3"/>
    <x v="2"/>
    <n v="4500"/>
    <n v="5"/>
    <n v="0.15"/>
    <n v="19125"/>
    <x v="1"/>
    <x v="2"/>
  </r>
  <r>
    <n v="1276"/>
    <x v="77"/>
    <s v="Bilal"/>
    <x v="5"/>
    <x v="0"/>
    <n v="5000"/>
    <n v="1"/>
    <n v="0"/>
    <n v="5000"/>
    <x v="0"/>
    <x v="2"/>
  </r>
  <r>
    <n v="1277"/>
    <x v="136"/>
    <s v="Ahmed"/>
    <x v="2"/>
    <x v="0"/>
    <n v="2200"/>
    <n v="3"/>
    <n v="0.1"/>
    <n v="5940"/>
    <x v="4"/>
    <x v="1"/>
  </r>
  <r>
    <n v="1278"/>
    <x v="16"/>
    <s v="Noor"/>
    <x v="1"/>
    <x v="1"/>
    <n v="3500"/>
    <n v="5"/>
    <n v="0.1"/>
    <n v="15750"/>
    <x v="1"/>
    <x v="0"/>
  </r>
  <r>
    <n v="1279"/>
    <x v="137"/>
    <s v="Sara"/>
    <x v="5"/>
    <x v="0"/>
    <n v="5000"/>
    <n v="5"/>
    <n v="0"/>
    <n v="25000"/>
    <x v="1"/>
    <x v="0"/>
  </r>
  <r>
    <n v="1280"/>
    <x v="41"/>
    <s v="Bilal"/>
    <x v="4"/>
    <x v="0"/>
    <n v="2800"/>
    <n v="5"/>
    <n v="0.15"/>
    <n v="11900"/>
    <x v="1"/>
    <x v="1"/>
  </r>
  <r>
    <n v="1281"/>
    <x v="138"/>
    <s v="Ali"/>
    <x v="5"/>
    <x v="0"/>
    <n v="5000"/>
    <n v="1"/>
    <n v="0.1"/>
    <n v="4500"/>
    <x v="0"/>
    <x v="0"/>
  </r>
  <r>
    <n v="1282"/>
    <x v="46"/>
    <s v="Hina"/>
    <x v="0"/>
    <x v="0"/>
    <n v="1200"/>
    <n v="3"/>
    <n v="0.1"/>
    <n v="3240"/>
    <x v="1"/>
    <x v="2"/>
  </r>
  <r>
    <n v="1283"/>
    <x v="92"/>
    <s v="Sara"/>
    <x v="3"/>
    <x v="2"/>
    <n v="4500"/>
    <n v="4"/>
    <n v="0.05"/>
    <n v="17100"/>
    <x v="2"/>
    <x v="0"/>
  </r>
  <r>
    <n v="1284"/>
    <x v="133"/>
    <s v="Ali"/>
    <x v="4"/>
    <x v="0"/>
    <n v="2800"/>
    <n v="3"/>
    <n v="0"/>
    <n v="8400"/>
    <x v="0"/>
    <x v="0"/>
  </r>
  <r>
    <n v="1285"/>
    <x v="120"/>
    <s v="Noor"/>
    <x v="4"/>
    <x v="0"/>
    <n v="2800"/>
    <n v="2"/>
    <n v="0.2"/>
    <n v="4480"/>
    <x v="2"/>
    <x v="2"/>
  </r>
  <r>
    <n v="1286"/>
    <x v="99"/>
    <s v="Hina"/>
    <x v="1"/>
    <x v="1"/>
    <n v="3500"/>
    <n v="4"/>
    <n v="0"/>
    <n v="14000"/>
    <x v="1"/>
    <x v="0"/>
  </r>
  <r>
    <n v="1287"/>
    <x v="1"/>
    <s v="Sara"/>
    <x v="6"/>
    <x v="3"/>
    <n v="900"/>
    <n v="4"/>
    <n v="0.1"/>
    <n v="3240"/>
    <x v="1"/>
    <x v="1"/>
  </r>
  <r>
    <n v="1288"/>
    <x v="60"/>
    <s v="Hina"/>
    <x v="5"/>
    <x v="0"/>
    <n v="5000"/>
    <n v="5"/>
    <n v="0.1"/>
    <n v="22500"/>
    <x v="1"/>
    <x v="0"/>
  </r>
  <r>
    <n v="1289"/>
    <x v="25"/>
    <s v="Usman"/>
    <x v="1"/>
    <x v="1"/>
    <n v="3500"/>
    <n v="3"/>
    <n v="0.2"/>
    <n v="8400"/>
    <x v="2"/>
    <x v="2"/>
  </r>
  <r>
    <n v="1290"/>
    <x v="77"/>
    <s v="Ahmed"/>
    <x v="1"/>
    <x v="1"/>
    <n v="3500"/>
    <n v="4"/>
    <n v="0.15"/>
    <n v="11900"/>
    <x v="1"/>
    <x v="2"/>
  </r>
  <r>
    <n v="1291"/>
    <x v="114"/>
    <s v="Bilal"/>
    <x v="3"/>
    <x v="2"/>
    <n v="4500"/>
    <n v="5"/>
    <n v="0.05"/>
    <n v="21375"/>
    <x v="1"/>
    <x v="2"/>
  </r>
  <r>
    <n v="1292"/>
    <x v="126"/>
    <s v="Usman"/>
    <x v="3"/>
    <x v="2"/>
    <n v="4500"/>
    <n v="2"/>
    <n v="0.2"/>
    <n v="7200"/>
    <x v="2"/>
    <x v="2"/>
  </r>
  <r>
    <n v="1293"/>
    <x v="113"/>
    <s v="Noor"/>
    <x v="0"/>
    <x v="0"/>
    <n v="1200"/>
    <n v="2"/>
    <n v="0"/>
    <n v="2400"/>
    <x v="2"/>
    <x v="0"/>
  </r>
  <r>
    <n v="1294"/>
    <x v="106"/>
    <s v="Ali"/>
    <x v="0"/>
    <x v="0"/>
    <n v="1200"/>
    <n v="3"/>
    <n v="0.2"/>
    <n v="2880"/>
    <x v="0"/>
    <x v="1"/>
  </r>
  <r>
    <n v="1295"/>
    <x v="139"/>
    <s v="Zain"/>
    <x v="2"/>
    <x v="0"/>
    <n v="2200"/>
    <n v="2"/>
    <n v="0.1"/>
    <n v="3960"/>
    <x v="4"/>
    <x v="1"/>
  </r>
  <r>
    <n v="1296"/>
    <x v="129"/>
    <s v="Noor"/>
    <x v="3"/>
    <x v="2"/>
    <n v="4500"/>
    <n v="5"/>
    <n v="0.15"/>
    <n v="19125"/>
    <x v="2"/>
    <x v="2"/>
  </r>
  <r>
    <n v="1297"/>
    <x v="140"/>
    <s v="Hina"/>
    <x v="3"/>
    <x v="2"/>
    <n v="4500"/>
    <n v="2"/>
    <n v="0"/>
    <n v="9000"/>
    <x v="2"/>
    <x v="0"/>
  </r>
  <r>
    <n v="1298"/>
    <x v="122"/>
    <s v="Noor"/>
    <x v="6"/>
    <x v="3"/>
    <n v="900"/>
    <n v="5"/>
    <n v="0.15"/>
    <n v="3825"/>
    <x v="4"/>
    <x v="2"/>
  </r>
  <r>
    <n v="1299"/>
    <x v="71"/>
    <s v="Noor"/>
    <x v="6"/>
    <x v="3"/>
    <n v="900"/>
    <n v="1"/>
    <n v="0.05"/>
    <n v="855"/>
    <x v="1"/>
    <x v="2"/>
  </r>
  <r>
    <n v="1300"/>
    <x v="50"/>
    <s v="Ali"/>
    <x v="3"/>
    <x v="2"/>
    <n v="4500"/>
    <n v="5"/>
    <n v="0"/>
    <n v="22500"/>
    <x v="3"/>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001"/>
    <s v="2025-06-07"/>
    <s v="Hina"/>
    <x v="0"/>
    <x v="0"/>
    <n v="1200"/>
    <n v="2"/>
    <n v="0.05"/>
    <n v="2280"/>
    <s v="Karachi"/>
    <s v="Wallet"/>
  </r>
  <r>
    <n v="1002"/>
    <s v="2025-02-05"/>
    <s v="Hina"/>
    <x v="0"/>
    <x v="0"/>
    <n v="1200"/>
    <n v="2"/>
    <n v="0.15"/>
    <n v="2040"/>
    <s v="Multan"/>
    <s v="Card"/>
  </r>
  <r>
    <n v="1003"/>
    <s v="2025-06-27"/>
    <s v="Hina"/>
    <x v="1"/>
    <x v="1"/>
    <n v="3500"/>
    <n v="4"/>
    <n v="0.1"/>
    <n v="12600"/>
    <s v="Multan"/>
    <s v="Wallet"/>
  </r>
  <r>
    <n v="1004"/>
    <s v="2025-05-14"/>
    <s v="Zain"/>
    <x v="2"/>
    <x v="0"/>
    <n v="2200"/>
    <n v="5"/>
    <n v="0.1"/>
    <n v="9900"/>
    <s v="Faisalabad"/>
    <s v="Card"/>
  </r>
  <r>
    <n v="1005"/>
    <s v="2025-03-04"/>
    <s v="Zain"/>
    <x v="3"/>
    <x v="2"/>
    <n v="4500"/>
    <n v="4"/>
    <n v="0.1"/>
    <n v="16200"/>
    <s v="Islamabad"/>
    <s v="Wallet"/>
  </r>
  <r>
    <n v="1006"/>
    <s v="2025-05-10"/>
    <s v="Sara"/>
    <x v="4"/>
    <x v="0"/>
    <n v="2800"/>
    <n v="3"/>
    <n v="0.05"/>
    <n v="7980"/>
    <s v="Islamabad"/>
    <s v="COD"/>
  </r>
  <r>
    <n v="1007"/>
    <s v="2025-03-11"/>
    <s v="Ayesha"/>
    <x v="5"/>
    <x v="0"/>
    <n v="5000"/>
    <n v="2"/>
    <n v="0.15"/>
    <n v="8500"/>
    <s v="Karachi"/>
    <s v="Card"/>
  </r>
  <r>
    <n v="1008"/>
    <s v="2025-03-08"/>
    <s v="Fatima"/>
    <x v="5"/>
    <x v="0"/>
    <n v="5000"/>
    <n v="2"/>
    <n v="0.1"/>
    <n v="9000"/>
    <s v="Islamabad"/>
    <s v="Wallet"/>
  </r>
  <r>
    <n v="1009"/>
    <s v="2025-03-23"/>
    <s v="Zain"/>
    <x v="5"/>
    <x v="0"/>
    <n v="5000"/>
    <n v="4"/>
    <n v="0"/>
    <n v="20000"/>
    <s v="Islamabad"/>
    <s v="COD"/>
  </r>
  <r>
    <n v="1010"/>
    <s v="2025-03-26"/>
    <s v="Usman"/>
    <x v="3"/>
    <x v="2"/>
    <n v="4500"/>
    <n v="3"/>
    <n v="0"/>
    <n v="13500"/>
    <s v="Islamabad"/>
    <s v="COD"/>
  </r>
  <r>
    <n v="1011"/>
    <s v="2025-04-08"/>
    <s v="Usman"/>
    <x v="1"/>
    <x v="1"/>
    <n v="3500"/>
    <n v="5"/>
    <n v="0.15"/>
    <n v="14875"/>
    <s v="Lahore"/>
    <s v="Wallet"/>
  </r>
  <r>
    <n v="1012"/>
    <s v="2025-06-14"/>
    <s v="Zain"/>
    <x v="4"/>
    <x v="0"/>
    <n v="2800"/>
    <n v="3"/>
    <n v="0.1"/>
    <n v="7560"/>
    <s v="Multan"/>
    <s v="COD"/>
  </r>
  <r>
    <n v="1013"/>
    <s v="2025-05-09"/>
    <s v="Noor"/>
    <x v="1"/>
    <x v="1"/>
    <n v="3500"/>
    <n v="3"/>
    <n v="0"/>
    <n v="10500"/>
    <s v="Multan"/>
    <s v="Wallet"/>
  </r>
  <r>
    <n v="1014"/>
    <s v="2025-02-17"/>
    <s v="Zain"/>
    <x v="1"/>
    <x v="1"/>
    <n v="3500"/>
    <n v="2"/>
    <n v="0.1"/>
    <n v="6300"/>
    <s v="Lahore"/>
    <s v="Wallet"/>
  </r>
  <r>
    <n v="1015"/>
    <s v="2025-04-19"/>
    <s v="Bilal"/>
    <x v="0"/>
    <x v="0"/>
    <n v="1200"/>
    <n v="1"/>
    <n v="0.15"/>
    <n v="1020"/>
    <s v="Faisalabad"/>
    <s v="Card"/>
  </r>
  <r>
    <n v="1016"/>
    <s v="2025-01-12"/>
    <s v="Hina"/>
    <x v="0"/>
    <x v="0"/>
    <n v="1200"/>
    <n v="4"/>
    <n v="0.2"/>
    <n v="3840"/>
    <s v="Karachi"/>
    <s v="COD"/>
  </r>
  <r>
    <n v="1017"/>
    <s v="2025-03-05"/>
    <s v="Ayesha"/>
    <x v="1"/>
    <x v="1"/>
    <n v="3500"/>
    <n v="2"/>
    <n v="0.05"/>
    <n v="6650"/>
    <s v="Islamabad"/>
    <s v="COD"/>
  </r>
  <r>
    <n v="1018"/>
    <s v="2025-01-20"/>
    <s v="Ahmed"/>
    <x v="6"/>
    <x v="3"/>
    <n v="900"/>
    <n v="3"/>
    <n v="0.2"/>
    <n v="2160"/>
    <s v="Karachi"/>
    <s v="Card"/>
  </r>
  <r>
    <n v="1019"/>
    <s v="2025-01-01"/>
    <s v="Usman"/>
    <x v="2"/>
    <x v="0"/>
    <n v="2200"/>
    <n v="4"/>
    <n v="0.15"/>
    <n v="7480"/>
    <s v="Multan"/>
    <s v="Wallet"/>
  </r>
  <r>
    <n v="1020"/>
    <s v="2025-05-03"/>
    <s v="Usman"/>
    <x v="1"/>
    <x v="1"/>
    <n v="3500"/>
    <n v="3"/>
    <n v="0.2"/>
    <n v="8400"/>
    <s v="Karachi"/>
    <s v="Wallet"/>
  </r>
  <r>
    <n v="1021"/>
    <s v="2025-03-12"/>
    <s v="Noor"/>
    <x v="3"/>
    <x v="2"/>
    <n v="4500"/>
    <n v="2"/>
    <n v="0"/>
    <n v="9000"/>
    <s v="Islamabad"/>
    <s v="Card"/>
  </r>
  <r>
    <n v="1022"/>
    <s v="2025-01-26"/>
    <s v="Ahmed"/>
    <x v="2"/>
    <x v="0"/>
    <n v="2200"/>
    <n v="3"/>
    <n v="0.05"/>
    <n v="6270"/>
    <s v="Karachi"/>
    <s v="Wallet"/>
  </r>
  <r>
    <n v="1023"/>
    <s v="2025-03-04"/>
    <s v="Ayesha"/>
    <x v="5"/>
    <x v="0"/>
    <n v="5000"/>
    <n v="1"/>
    <n v="0.05"/>
    <n v="4750"/>
    <s v="Lahore"/>
    <s v="Card"/>
  </r>
  <r>
    <n v="1024"/>
    <s v="2025-02-26"/>
    <s v="Ahmed"/>
    <x v="0"/>
    <x v="0"/>
    <n v="1200"/>
    <n v="4"/>
    <n v="0.15"/>
    <n v="4080"/>
    <s v="Faisalabad"/>
    <s v="Card"/>
  </r>
  <r>
    <n v="1025"/>
    <s v="2025-05-10"/>
    <s v="Sara"/>
    <x v="6"/>
    <x v="3"/>
    <n v="900"/>
    <n v="3"/>
    <n v="0.15"/>
    <n v="2295"/>
    <s v="Karachi"/>
    <s v="Card"/>
  </r>
  <r>
    <n v="1026"/>
    <s v="2025-05-11"/>
    <s v="Noor"/>
    <x v="1"/>
    <x v="1"/>
    <n v="3500"/>
    <n v="3"/>
    <n v="0.1"/>
    <n v="9450"/>
    <s v="Multan"/>
    <s v="Card"/>
  </r>
  <r>
    <n v="1027"/>
    <s v="2025-04-13"/>
    <s v="Usman"/>
    <x v="4"/>
    <x v="0"/>
    <n v="2800"/>
    <n v="5"/>
    <n v="0.15"/>
    <n v="11900"/>
    <s v="Lahore"/>
    <s v="Card"/>
  </r>
  <r>
    <n v="1028"/>
    <s v="2025-04-23"/>
    <s v="Sara"/>
    <x v="6"/>
    <x v="3"/>
    <n v="900"/>
    <n v="3"/>
    <n v="0"/>
    <n v="2700"/>
    <s v="Faisalabad"/>
    <s v="Card"/>
  </r>
  <r>
    <n v="1029"/>
    <s v="2025-03-27"/>
    <s v="Fatima"/>
    <x v="2"/>
    <x v="0"/>
    <n v="2200"/>
    <n v="1"/>
    <n v="0.05"/>
    <n v="2090"/>
    <s v="Multan"/>
    <s v="Card"/>
  </r>
  <r>
    <n v="1030"/>
    <s v="2025-03-05"/>
    <s v="Sara"/>
    <x v="6"/>
    <x v="3"/>
    <n v="900"/>
    <n v="5"/>
    <n v="0.05"/>
    <n v="4275"/>
    <s v="Karachi"/>
    <s v="COD"/>
  </r>
  <r>
    <n v="1031"/>
    <s v="2025-05-11"/>
    <s v="Usman"/>
    <x v="2"/>
    <x v="0"/>
    <n v="2200"/>
    <n v="3"/>
    <n v="0.2"/>
    <n v="5280"/>
    <s v="Islamabad"/>
    <s v="Card"/>
  </r>
  <r>
    <n v="1032"/>
    <s v="2025-01-20"/>
    <s v="Bilal"/>
    <x v="5"/>
    <x v="0"/>
    <n v="5000"/>
    <n v="3"/>
    <n v="0.15"/>
    <n v="12750"/>
    <s v="Karachi"/>
    <s v="Wallet"/>
  </r>
  <r>
    <n v="1033"/>
    <s v="2025-04-11"/>
    <s v="Ali"/>
    <x v="2"/>
    <x v="0"/>
    <n v="2200"/>
    <n v="1"/>
    <n v="0"/>
    <n v="2200"/>
    <s v="Karachi"/>
    <s v="Card"/>
  </r>
  <r>
    <n v="1034"/>
    <s v="2025-02-18"/>
    <s v="Bilal"/>
    <x v="3"/>
    <x v="2"/>
    <n v="4500"/>
    <n v="2"/>
    <n v="0.2"/>
    <n v="7200"/>
    <s v="Multan"/>
    <s v="Wallet"/>
  </r>
  <r>
    <n v="1035"/>
    <s v="2025-05-02"/>
    <s v="Usman"/>
    <x v="2"/>
    <x v="0"/>
    <n v="2200"/>
    <n v="1"/>
    <n v="0.1"/>
    <n v="1980"/>
    <s v="Islamabad"/>
    <s v="Card"/>
  </r>
  <r>
    <n v="1036"/>
    <s v="2025-06-23"/>
    <s v="Zain"/>
    <x v="5"/>
    <x v="0"/>
    <n v="5000"/>
    <n v="1"/>
    <n v="0.05"/>
    <n v="4750"/>
    <s v="Islamabad"/>
    <s v="Card"/>
  </r>
  <r>
    <n v="1037"/>
    <s v="2025-04-28"/>
    <s v="Sara"/>
    <x v="6"/>
    <x v="3"/>
    <n v="900"/>
    <n v="3"/>
    <n v="0.1"/>
    <n v="2430"/>
    <s v="Karachi"/>
    <s v="COD"/>
  </r>
  <r>
    <n v="1038"/>
    <s v="2025-04-18"/>
    <s v="Bilal"/>
    <x v="0"/>
    <x v="0"/>
    <n v="1200"/>
    <n v="5"/>
    <n v="0.05"/>
    <n v="5700"/>
    <s v="Islamabad"/>
    <s v="Wallet"/>
  </r>
  <r>
    <n v="1039"/>
    <s v="2025-05-05"/>
    <s v="Bilal"/>
    <x v="4"/>
    <x v="0"/>
    <n v="2800"/>
    <n v="3"/>
    <n v="0.2"/>
    <n v="6720"/>
    <s v="Karachi"/>
    <s v="Wallet"/>
  </r>
  <r>
    <n v="1040"/>
    <s v="2025-05-30"/>
    <s v="Fatima"/>
    <x v="0"/>
    <x v="0"/>
    <n v="1200"/>
    <n v="5"/>
    <n v="0.15"/>
    <n v="5100"/>
    <s v="Multan"/>
    <s v="COD"/>
  </r>
  <r>
    <n v="1041"/>
    <s v="2025-02-15"/>
    <s v="Zain"/>
    <x v="0"/>
    <x v="0"/>
    <n v="1200"/>
    <n v="2"/>
    <n v="0.05"/>
    <n v="2280"/>
    <s v="Lahore"/>
    <s v="Card"/>
  </r>
  <r>
    <n v="1042"/>
    <s v="2025-03-10"/>
    <s v="Fatima"/>
    <x v="1"/>
    <x v="1"/>
    <n v="3500"/>
    <n v="4"/>
    <n v="0.15"/>
    <n v="11900"/>
    <s v="Lahore"/>
    <s v="COD"/>
  </r>
  <r>
    <n v="1043"/>
    <s v="2025-05-19"/>
    <s v="Ahmed"/>
    <x v="6"/>
    <x v="3"/>
    <n v="900"/>
    <n v="1"/>
    <n v="0.05"/>
    <n v="855"/>
    <s v="Faisalabad"/>
    <s v="COD"/>
  </r>
  <r>
    <n v="1044"/>
    <s v="2025-06-13"/>
    <s v="Usman"/>
    <x v="2"/>
    <x v="0"/>
    <n v="2200"/>
    <n v="3"/>
    <n v="0.2"/>
    <n v="5280"/>
    <s v="Lahore"/>
    <s v="Card"/>
  </r>
  <r>
    <n v="1045"/>
    <s v="2025-06-24"/>
    <s v="Zain"/>
    <x v="5"/>
    <x v="0"/>
    <n v="5000"/>
    <n v="2"/>
    <n v="0.2"/>
    <n v="8000"/>
    <s v="Islamabad"/>
    <s v="Card"/>
  </r>
  <r>
    <n v="1046"/>
    <s v="2025-03-20"/>
    <s v="Ali"/>
    <x v="5"/>
    <x v="0"/>
    <n v="5000"/>
    <n v="3"/>
    <n v="0.05"/>
    <n v="14250"/>
    <s v="Islamabad"/>
    <s v="COD"/>
  </r>
  <r>
    <n v="1047"/>
    <s v="2025-05-22"/>
    <s v="Noor"/>
    <x v="6"/>
    <x v="3"/>
    <n v="900"/>
    <n v="5"/>
    <n v="0.2"/>
    <n v="3600"/>
    <s v="Faisalabad"/>
    <s v="COD"/>
  </r>
  <r>
    <n v="1048"/>
    <s v="2025-03-26"/>
    <s v="Hina"/>
    <x v="0"/>
    <x v="0"/>
    <n v="1200"/>
    <n v="3"/>
    <n v="0.1"/>
    <n v="3240"/>
    <s v="Karachi"/>
    <s v="COD"/>
  </r>
  <r>
    <n v="1049"/>
    <s v="2025-06-08"/>
    <s v="Sara"/>
    <x v="0"/>
    <x v="0"/>
    <n v="1200"/>
    <n v="1"/>
    <n v="0.05"/>
    <n v="1140"/>
    <s v="Faisalabad"/>
    <s v="Wallet"/>
  </r>
  <r>
    <n v="1050"/>
    <s v="2025-03-18"/>
    <s v="Ayesha"/>
    <x v="4"/>
    <x v="0"/>
    <n v="2800"/>
    <n v="5"/>
    <n v="0.05"/>
    <n v="13300"/>
    <s v="Islamabad"/>
    <s v="COD"/>
  </r>
  <r>
    <n v="1051"/>
    <s v="2025-02-23"/>
    <s v="Bilal"/>
    <x v="5"/>
    <x v="0"/>
    <n v="5000"/>
    <n v="4"/>
    <n v="0.1"/>
    <n v="18000"/>
    <s v="Lahore"/>
    <s v="COD"/>
  </r>
  <r>
    <n v="1052"/>
    <s v="2025-03-21"/>
    <s v="Noor"/>
    <x v="1"/>
    <x v="1"/>
    <n v="3500"/>
    <n v="5"/>
    <n v="0.05"/>
    <n v="16625"/>
    <s v="Faisalabad"/>
    <s v="COD"/>
  </r>
  <r>
    <n v="1053"/>
    <s v="2025-06-02"/>
    <s v="Zain"/>
    <x v="3"/>
    <x v="2"/>
    <n v="4500"/>
    <n v="5"/>
    <n v="0.15"/>
    <n v="19125"/>
    <s v="Karachi"/>
    <s v="Card"/>
  </r>
  <r>
    <n v="1054"/>
    <s v="2025-05-11"/>
    <s v="Hina"/>
    <x v="2"/>
    <x v="0"/>
    <n v="2200"/>
    <n v="1"/>
    <n v="0.15"/>
    <n v="1870"/>
    <s v="Multan"/>
    <s v="Wallet"/>
  </r>
  <r>
    <n v="1055"/>
    <s v="2025-01-27"/>
    <s v="Hina"/>
    <x v="5"/>
    <x v="0"/>
    <n v="5000"/>
    <n v="5"/>
    <n v="0"/>
    <n v="25000"/>
    <s v="Multan"/>
    <s v="Wallet"/>
  </r>
  <r>
    <n v="1056"/>
    <s v="2025-01-20"/>
    <s v="Bilal"/>
    <x v="5"/>
    <x v="0"/>
    <n v="5000"/>
    <n v="5"/>
    <n v="0.1"/>
    <n v="22500"/>
    <s v="Karachi"/>
    <s v="Wallet"/>
  </r>
  <r>
    <n v="1057"/>
    <s v="2025-02-01"/>
    <s v="Noor"/>
    <x v="1"/>
    <x v="1"/>
    <n v="3500"/>
    <n v="3"/>
    <n v="0"/>
    <n v="10500"/>
    <s v="Faisalabad"/>
    <s v="Card"/>
  </r>
  <r>
    <n v="1058"/>
    <s v="2025-04-22"/>
    <s v="Bilal"/>
    <x v="6"/>
    <x v="3"/>
    <n v="900"/>
    <n v="3"/>
    <n v="0.05"/>
    <n v="2565"/>
    <s v="Lahore"/>
    <s v="Card"/>
  </r>
  <r>
    <n v="1059"/>
    <s v="2025-05-20"/>
    <s v="Noor"/>
    <x v="1"/>
    <x v="1"/>
    <n v="3500"/>
    <n v="2"/>
    <n v="0.2"/>
    <n v="5600"/>
    <s v="Karachi"/>
    <s v="Card"/>
  </r>
  <r>
    <n v="1060"/>
    <s v="2025-02-03"/>
    <s v="Zain"/>
    <x v="6"/>
    <x v="3"/>
    <n v="900"/>
    <n v="1"/>
    <n v="0.05"/>
    <n v="855"/>
    <s v="Islamabad"/>
    <s v="Wallet"/>
  </r>
  <r>
    <n v="1061"/>
    <s v="2025-05-30"/>
    <s v="Noor"/>
    <x v="4"/>
    <x v="0"/>
    <n v="2800"/>
    <n v="4"/>
    <n v="0.05"/>
    <n v="10640"/>
    <s v="Faisalabad"/>
    <s v="Wallet"/>
  </r>
  <r>
    <n v="1062"/>
    <s v="2025-03-05"/>
    <s v="Sara"/>
    <x v="0"/>
    <x v="0"/>
    <n v="1200"/>
    <n v="2"/>
    <n v="0.2"/>
    <n v="1920"/>
    <s v="Multan"/>
    <s v="Wallet"/>
  </r>
  <r>
    <n v="1063"/>
    <s v="2025-05-20"/>
    <s v="Ahmed"/>
    <x v="0"/>
    <x v="0"/>
    <n v="1200"/>
    <n v="4"/>
    <n v="0.05"/>
    <n v="4560"/>
    <s v="Lahore"/>
    <s v="Wallet"/>
  </r>
  <r>
    <n v="1064"/>
    <s v="2025-06-13"/>
    <s v="Bilal"/>
    <x v="2"/>
    <x v="0"/>
    <n v="2200"/>
    <n v="4"/>
    <n v="0"/>
    <n v="8800"/>
    <s v="Faisalabad"/>
    <s v="Card"/>
  </r>
  <r>
    <n v="1065"/>
    <s v="2025-06-21"/>
    <s v="Zain"/>
    <x v="2"/>
    <x v="0"/>
    <n v="2200"/>
    <n v="5"/>
    <n v="0.2"/>
    <n v="8800"/>
    <s v="Karachi"/>
    <s v="Wallet"/>
  </r>
  <r>
    <n v="1066"/>
    <s v="2025-03-15"/>
    <s v="Ali"/>
    <x v="3"/>
    <x v="2"/>
    <n v="4500"/>
    <n v="3"/>
    <n v="0.05"/>
    <n v="12825"/>
    <s v="Multan"/>
    <s v="COD"/>
  </r>
  <r>
    <n v="1067"/>
    <s v="2025-02-20"/>
    <s v="Bilal"/>
    <x v="4"/>
    <x v="0"/>
    <n v="2800"/>
    <n v="3"/>
    <n v="0.15"/>
    <n v="7140"/>
    <s v="Lahore"/>
    <s v="Wallet"/>
  </r>
  <r>
    <n v="1068"/>
    <s v="2025-05-16"/>
    <s v="Ayesha"/>
    <x v="0"/>
    <x v="0"/>
    <n v="1200"/>
    <n v="3"/>
    <n v="0"/>
    <n v="3600"/>
    <s v="Multan"/>
    <s v="Card"/>
  </r>
  <r>
    <n v="1069"/>
    <s v="2025-03-09"/>
    <s v="Bilal"/>
    <x v="6"/>
    <x v="3"/>
    <n v="900"/>
    <n v="3"/>
    <n v="0.15"/>
    <n v="2295"/>
    <s v="Lahore"/>
    <s v="Wallet"/>
  </r>
  <r>
    <n v="1070"/>
    <s v="2025-06-10"/>
    <s v="Noor"/>
    <x v="1"/>
    <x v="1"/>
    <n v="3500"/>
    <n v="3"/>
    <n v="0.15"/>
    <n v="8925"/>
    <s v="Multan"/>
    <s v="Wallet"/>
  </r>
  <r>
    <n v="1071"/>
    <s v="2025-03-26"/>
    <s v="Fatima"/>
    <x v="0"/>
    <x v="0"/>
    <n v="1200"/>
    <n v="3"/>
    <n v="0.15"/>
    <n v="3060"/>
    <s v="Faisalabad"/>
    <s v="Wallet"/>
  </r>
  <r>
    <n v="1072"/>
    <s v="2025-04-18"/>
    <s v="Bilal"/>
    <x v="1"/>
    <x v="1"/>
    <n v="3500"/>
    <n v="2"/>
    <n v="0.15"/>
    <n v="5950"/>
    <s v="Faisalabad"/>
    <s v="COD"/>
  </r>
  <r>
    <n v="1073"/>
    <s v="2025-06-06"/>
    <s v="Ali"/>
    <x v="2"/>
    <x v="0"/>
    <n v="2200"/>
    <n v="2"/>
    <n v="0"/>
    <n v="4400"/>
    <s v="Karachi"/>
    <s v="Card"/>
  </r>
  <r>
    <n v="1074"/>
    <s v="2025-04-07"/>
    <s v="Hina"/>
    <x v="1"/>
    <x v="1"/>
    <n v="3500"/>
    <n v="5"/>
    <n v="0.1"/>
    <n v="15750"/>
    <s v="Faisalabad"/>
    <s v="Card"/>
  </r>
  <r>
    <n v="1075"/>
    <s v="2025-02-17"/>
    <s v="Usman"/>
    <x v="2"/>
    <x v="0"/>
    <n v="2200"/>
    <n v="2"/>
    <n v="0"/>
    <n v="4400"/>
    <s v="Karachi"/>
    <s v="Card"/>
  </r>
  <r>
    <n v="1076"/>
    <s v="2025-03-10"/>
    <s v="Ahmed"/>
    <x v="5"/>
    <x v="0"/>
    <n v="5000"/>
    <n v="4"/>
    <n v="0.15"/>
    <n v="17000"/>
    <s v="Lahore"/>
    <s v="Card"/>
  </r>
  <r>
    <n v="1077"/>
    <s v="2025-04-11"/>
    <s v="Bilal"/>
    <x v="0"/>
    <x v="0"/>
    <n v="1200"/>
    <n v="5"/>
    <n v="0.05"/>
    <n v="5700"/>
    <s v="Islamabad"/>
    <s v="Wallet"/>
  </r>
  <r>
    <n v="1078"/>
    <s v="2025-05-10"/>
    <s v="Noor"/>
    <x v="3"/>
    <x v="2"/>
    <n v="4500"/>
    <n v="2"/>
    <n v="0.15"/>
    <n v="7650"/>
    <s v="Multan"/>
    <s v="Wallet"/>
  </r>
  <r>
    <n v="1079"/>
    <s v="2025-05-23"/>
    <s v="Hina"/>
    <x v="1"/>
    <x v="1"/>
    <n v="3500"/>
    <n v="1"/>
    <n v="0.1"/>
    <n v="3150"/>
    <s v="Lahore"/>
    <s v="COD"/>
  </r>
  <r>
    <n v="1080"/>
    <s v="2025-02-16"/>
    <s v="Bilal"/>
    <x v="3"/>
    <x v="2"/>
    <n v="4500"/>
    <n v="1"/>
    <n v="0"/>
    <n v="4500"/>
    <s v="Lahore"/>
    <s v="Wallet"/>
  </r>
  <r>
    <n v="1081"/>
    <s v="2025-02-26"/>
    <s v="Hina"/>
    <x v="0"/>
    <x v="0"/>
    <n v="1200"/>
    <n v="2"/>
    <n v="0.1"/>
    <n v="2160"/>
    <s v="Karachi"/>
    <s v="Card"/>
  </r>
  <r>
    <n v="1082"/>
    <s v="2025-06-11"/>
    <s v="Hina"/>
    <x v="2"/>
    <x v="0"/>
    <n v="2200"/>
    <n v="3"/>
    <n v="0.15"/>
    <n v="5610"/>
    <s v="Lahore"/>
    <s v="COD"/>
  </r>
  <r>
    <n v="1083"/>
    <s v="2025-03-06"/>
    <s v="Bilal"/>
    <x v="3"/>
    <x v="2"/>
    <n v="4500"/>
    <n v="3"/>
    <n v="0.1"/>
    <n v="12150"/>
    <s v="Islamabad"/>
    <s v="Card"/>
  </r>
  <r>
    <n v="1084"/>
    <s v="2025-05-03"/>
    <s v="Fatima"/>
    <x v="4"/>
    <x v="0"/>
    <n v="2800"/>
    <n v="5"/>
    <n v="0.1"/>
    <n v="12600"/>
    <s v="Islamabad"/>
    <s v="Card"/>
  </r>
  <r>
    <n v="1085"/>
    <s v="2025-05-29"/>
    <s v="Noor"/>
    <x v="1"/>
    <x v="1"/>
    <n v="3500"/>
    <n v="5"/>
    <n v="0.1"/>
    <n v="15750"/>
    <s v="Faisalabad"/>
    <s v="COD"/>
  </r>
  <r>
    <n v="1086"/>
    <s v="2025-01-17"/>
    <s v="Zain"/>
    <x v="0"/>
    <x v="0"/>
    <n v="1200"/>
    <n v="2"/>
    <n v="0.2"/>
    <n v="1920"/>
    <s v="Karachi"/>
    <s v="Card"/>
  </r>
  <r>
    <n v="1087"/>
    <s v="2025-06-24"/>
    <s v="Ahmed"/>
    <x v="6"/>
    <x v="3"/>
    <n v="900"/>
    <n v="1"/>
    <n v="0.05"/>
    <n v="855"/>
    <s v="Karachi"/>
    <s v="Wallet"/>
  </r>
  <r>
    <n v="1088"/>
    <s v="2025-06-15"/>
    <s v="Noor"/>
    <x v="6"/>
    <x v="3"/>
    <n v="900"/>
    <n v="3"/>
    <n v="0.15"/>
    <n v="2295"/>
    <s v="Karachi"/>
    <s v="Card"/>
  </r>
  <r>
    <n v="1089"/>
    <s v="2025-06-08"/>
    <s v="Usman"/>
    <x v="0"/>
    <x v="0"/>
    <n v="1200"/>
    <n v="1"/>
    <n v="0"/>
    <n v="1200"/>
    <s v="Karachi"/>
    <s v="Card"/>
  </r>
  <r>
    <n v="1090"/>
    <s v="2025-04-22"/>
    <s v="Ahmed"/>
    <x v="5"/>
    <x v="0"/>
    <n v="5000"/>
    <n v="4"/>
    <n v="0.05"/>
    <n v="19000"/>
    <s v="Multan"/>
    <s v="Card"/>
  </r>
  <r>
    <n v="1091"/>
    <s v="2025-05-01"/>
    <s v="Hina"/>
    <x v="5"/>
    <x v="0"/>
    <n v="5000"/>
    <n v="1"/>
    <n v="0.1"/>
    <n v="4500"/>
    <s v="Faisalabad"/>
    <s v="Card"/>
  </r>
  <r>
    <n v="1092"/>
    <s v="2025-06-14"/>
    <s v="Sara"/>
    <x v="6"/>
    <x v="3"/>
    <n v="900"/>
    <n v="3"/>
    <n v="0.1"/>
    <n v="2430"/>
    <s v="Islamabad"/>
    <s v="Wallet"/>
  </r>
  <r>
    <n v="1093"/>
    <s v="2025-04-22"/>
    <s v="Ayesha"/>
    <x v="3"/>
    <x v="2"/>
    <n v="4500"/>
    <n v="4"/>
    <n v="0.2"/>
    <n v="14400"/>
    <s v="Multan"/>
    <s v="Wallet"/>
  </r>
  <r>
    <n v="1094"/>
    <s v="2025-02-06"/>
    <s v="Usman"/>
    <x v="3"/>
    <x v="2"/>
    <n v="4500"/>
    <n v="3"/>
    <n v="0.05"/>
    <n v="12825"/>
    <s v="Multan"/>
    <s v="Wallet"/>
  </r>
  <r>
    <n v="1095"/>
    <s v="2025-04-08"/>
    <s v="Bilal"/>
    <x v="2"/>
    <x v="0"/>
    <n v="2200"/>
    <n v="4"/>
    <n v="0.05"/>
    <n v="8360"/>
    <s v="Karachi"/>
    <s v="Card"/>
  </r>
  <r>
    <n v="1096"/>
    <s v="2025-06-15"/>
    <s v="Noor"/>
    <x v="0"/>
    <x v="0"/>
    <n v="1200"/>
    <n v="5"/>
    <n v="0.05"/>
    <n v="5700"/>
    <s v="Islamabad"/>
    <s v="Card"/>
  </r>
  <r>
    <n v="1097"/>
    <s v="2025-03-02"/>
    <s v="Fatima"/>
    <x v="0"/>
    <x v="0"/>
    <n v="1200"/>
    <n v="2"/>
    <n v="0"/>
    <n v="2400"/>
    <s v="Multan"/>
    <s v="Card"/>
  </r>
  <r>
    <n v="1098"/>
    <s v="2025-06-01"/>
    <s v="Noor"/>
    <x v="3"/>
    <x v="2"/>
    <n v="4500"/>
    <n v="3"/>
    <n v="0.05"/>
    <n v="12825"/>
    <s v="Faisalabad"/>
    <s v="COD"/>
  </r>
  <r>
    <n v="1099"/>
    <s v="2025-03-23"/>
    <s v="Zain"/>
    <x v="2"/>
    <x v="0"/>
    <n v="2200"/>
    <n v="5"/>
    <n v="0.2"/>
    <n v="8800"/>
    <s v="Multan"/>
    <s v="Wallet"/>
  </r>
  <r>
    <n v="1100"/>
    <s v="2025-02-05"/>
    <s v="Noor"/>
    <x v="6"/>
    <x v="3"/>
    <n v="900"/>
    <n v="4"/>
    <n v="0.2"/>
    <n v="2880"/>
    <s v="Islamabad"/>
    <s v="Card"/>
  </r>
  <r>
    <n v="1101"/>
    <s v="2025-04-21"/>
    <s v="Ali"/>
    <x v="3"/>
    <x v="2"/>
    <n v="4500"/>
    <n v="1"/>
    <n v="0.1"/>
    <n v="4050"/>
    <s v="Multan"/>
    <s v="COD"/>
  </r>
  <r>
    <n v="1102"/>
    <s v="2025-04-01"/>
    <s v="Noor"/>
    <x v="6"/>
    <x v="3"/>
    <n v="900"/>
    <n v="3"/>
    <n v="0.05"/>
    <n v="2565"/>
    <s v="Islamabad"/>
    <s v="Card"/>
  </r>
  <r>
    <n v="1103"/>
    <s v="2025-06-17"/>
    <s v="Fatima"/>
    <x v="3"/>
    <x v="2"/>
    <n v="4500"/>
    <n v="3"/>
    <n v="0.1"/>
    <n v="12150"/>
    <s v="Karachi"/>
    <s v="Card"/>
  </r>
  <r>
    <n v="1104"/>
    <s v="2025-06-18"/>
    <s v="Ali"/>
    <x v="6"/>
    <x v="3"/>
    <n v="900"/>
    <n v="4"/>
    <n v="0.05"/>
    <n v="3420"/>
    <s v="Lahore"/>
    <s v="Wallet"/>
  </r>
  <r>
    <n v="1105"/>
    <s v="2025-06-12"/>
    <s v="Hina"/>
    <x v="2"/>
    <x v="0"/>
    <n v="2200"/>
    <n v="5"/>
    <n v="0"/>
    <n v="11000"/>
    <s v="Islamabad"/>
    <s v="COD"/>
  </r>
  <r>
    <n v="1106"/>
    <s v="2025-05-11"/>
    <s v="Bilal"/>
    <x v="2"/>
    <x v="0"/>
    <n v="2200"/>
    <n v="2"/>
    <n v="0.05"/>
    <n v="4180"/>
    <s v="Faisalabad"/>
    <s v="COD"/>
  </r>
  <r>
    <n v="1107"/>
    <s v="2025-02-24"/>
    <s v="Ali"/>
    <x v="6"/>
    <x v="3"/>
    <n v="900"/>
    <n v="1"/>
    <n v="0.1"/>
    <n v="810"/>
    <s v="Lahore"/>
    <s v="COD"/>
  </r>
  <r>
    <n v="1108"/>
    <s v="2025-03-02"/>
    <s v="Ayesha"/>
    <x v="2"/>
    <x v="0"/>
    <n v="2200"/>
    <n v="4"/>
    <n v="0.2"/>
    <n v="7040"/>
    <s v="Islamabad"/>
    <s v="COD"/>
  </r>
  <r>
    <n v="1109"/>
    <s v="2025-06-01"/>
    <s v="Ahmed"/>
    <x v="4"/>
    <x v="0"/>
    <n v="2800"/>
    <n v="3"/>
    <n v="0.15"/>
    <n v="7140"/>
    <s v="Islamabad"/>
    <s v="COD"/>
  </r>
  <r>
    <n v="1110"/>
    <s v="2025-01-29"/>
    <s v="Ayesha"/>
    <x v="2"/>
    <x v="0"/>
    <n v="2200"/>
    <n v="3"/>
    <n v="0"/>
    <n v="6600"/>
    <s v="Lahore"/>
    <s v="Wallet"/>
  </r>
  <r>
    <n v="1111"/>
    <s v="2025-01-25"/>
    <s v="Zain"/>
    <x v="0"/>
    <x v="0"/>
    <n v="1200"/>
    <n v="1"/>
    <n v="0.2"/>
    <n v="960"/>
    <s v="Islamabad"/>
    <s v="Wallet"/>
  </r>
  <r>
    <n v="1112"/>
    <s v="2025-01-27"/>
    <s v="Zain"/>
    <x v="5"/>
    <x v="0"/>
    <n v="5000"/>
    <n v="1"/>
    <n v="0.05"/>
    <n v="4750"/>
    <s v="Faisalabad"/>
    <s v="COD"/>
  </r>
  <r>
    <n v="1113"/>
    <s v="2025-05-16"/>
    <s v="Ali"/>
    <x v="0"/>
    <x v="0"/>
    <n v="1200"/>
    <n v="5"/>
    <n v="0.15"/>
    <n v="5100"/>
    <s v="Faisalabad"/>
    <s v="COD"/>
  </r>
  <r>
    <n v="1114"/>
    <s v="2025-02-21"/>
    <s v="Hina"/>
    <x v="1"/>
    <x v="1"/>
    <n v="3500"/>
    <n v="5"/>
    <n v="0"/>
    <n v="17500"/>
    <s v="Karachi"/>
    <s v="COD"/>
  </r>
  <r>
    <n v="1115"/>
    <s v="2025-01-27"/>
    <s v="Ali"/>
    <x v="0"/>
    <x v="0"/>
    <n v="1200"/>
    <n v="5"/>
    <n v="0"/>
    <n v="6000"/>
    <s v="Faisalabad"/>
    <s v="Wallet"/>
  </r>
  <r>
    <n v="1116"/>
    <s v="2025-02-28"/>
    <s v="Sara"/>
    <x v="2"/>
    <x v="0"/>
    <n v="2200"/>
    <n v="3"/>
    <n v="0.2"/>
    <n v="5280"/>
    <s v="Islamabad"/>
    <s v="Card"/>
  </r>
  <r>
    <n v="1117"/>
    <s v="2025-06-04"/>
    <s v="Ahmed"/>
    <x v="0"/>
    <x v="0"/>
    <n v="1200"/>
    <n v="2"/>
    <n v="0.05"/>
    <n v="2280"/>
    <s v="Karachi"/>
    <s v="COD"/>
  </r>
  <r>
    <n v="1118"/>
    <s v="2025-06-25"/>
    <s v="Noor"/>
    <x v="1"/>
    <x v="1"/>
    <n v="3500"/>
    <n v="1"/>
    <n v="0.2"/>
    <n v="2800"/>
    <s v="Islamabad"/>
    <s v="Wallet"/>
  </r>
  <r>
    <n v="1119"/>
    <s v="2025-01-05"/>
    <s v="Ali"/>
    <x v="3"/>
    <x v="2"/>
    <n v="4500"/>
    <n v="2"/>
    <n v="0"/>
    <n v="9000"/>
    <s v="Multan"/>
    <s v="Card"/>
  </r>
  <r>
    <n v="1120"/>
    <s v="2025-01-05"/>
    <s v="Fatima"/>
    <x v="0"/>
    <x v="0"/>
    <n v="1200"/>
    <n v="1"/>
    <n v="0.05"/>
    <n v="1140"/>
    <s v="Lahore"/>
    <s v="COD"/>
  </r>
  <r>
    <n v="1121"/>
    <s v="2025-05-14"/>
    <s v="Fatima"/>
    <x v="0"/>
    <x v="0"/>
    <n v="1200"/>
    <n v="2"/>
    <n v="0.1"/>
    <n v="2160"/>
    <s v="Islamabad"/>
    <s v="Card"/>
  </r>
  <r>
    <n v="1122"/>
    <s v="2025-04-27"/>
    <s v="Sara"/>
    <x v="3"/>
    <x v="2"/>
    <n v="4500"/>
    <n v="1"/>
    <n v="0.15"/>
    <n v="3825"/>
    <s v="Faisalabad"/>
    <s v="Card"/>
  </r>
  <r>
    <n v="1123"/>
    <s v="2025-03-31"/>
    <s v="Hina"/>
    <x v="5"/>
    <x v="0"/>
    <n v="5000"/>
    <n v="5"/>
    <n v="0.1"/>
    <n v="22500"/>
    <s v="Faisalabad"/>
    <s v="Wallet"/>
  </r>
  <r>
    <n v="1124"/>
    <s v="2025-02-16"/>
    <s v="Usman"/>
    <x v="3"/>
    <x v="2"/>
    <n v="4500"/>
    <n v="2"/>
    <n v="0"/>
    <n v="9000"/>
    <s v="Faisalabad"/>
    <s v="Card"/>
  </r>
  <r>
    <n v="1125"/>
    <s v="2025-01-26"/>
    <s v="Usman"/>
    <x v="2"/>
    <x v="0"/>
    <n v="2200"/>
    <n v="3"/>
    <n v="0.15"/>
    <n v="5610"/>
    <s v="Lahore"/>
    <s v="Card"/>
  </r>
  <r>
    <n v="1126"/>
    <s v="2025-01-02"/>
    <s v="Noor"/>
    <x v="2"/>
    <x v="0"/>
    <n v="2200"/>
    <n v="4"/>
    <n v="0.15"/>
    <n v="7480"/>
    <s v="Faisalabad"/>
    <s v="COD"/>
  </r>
  <r>
    <n v="1127"/>
    <s v="2025-06-27"/>
    <s v="Ali"/>
    <x v="0"/>
    <x v="0"/>
    <n v="1200"/>
    <n v="3"/>
    <n v="0.2"/>
    <n v="2880"/>
    <s v="Multan"/>
    <s v="Wallet"/>
  </r>
  <r>
    <n v="1128"/>
    <s v="2025-04-14"/>
    <s v="Bilal"/>
    <x v="0"/>
    <x v="0"/>
    <n v="1200"/>
    <n v="2"/>
    <n v="0.15"/>
    <n v="2040"/>
    <s v="Islamabad"/>
    <s v="Card"/>
  </r>
  <r>
    <n v="1129"/>
    <s v="2025-04-17"/>
    <s v="Hina"/>
    <x v="4"/>
    <x v="0"/>
    <n v="2800"/>
    <n v="2"/>
    <n v="0.05"/>
    <n v="5320"/>
    <s v="Multan"/>
    <s v="COD"/>
  </r>
  <r>
    <n v="1130"/>
    <s v="2025-05-20"/>
    <s v="Usman"/>
    <x v="0"/>
    <x v="0"/>
    <n v="1200"/>
    <n v="1"/>
    <n v="0.2"/>
    <n v="960"/>
    <s v="Karachi"/>
    <s v="COD"/>
  </r>
  <r>
    <n v="1131"/>
    <s v="2025-02-22"/>
    <s v="Usman"/>
    <x v="4"/>
    <x v="0"/>
    <n v="2800"/>
    <n v="4"/>
    <n v="0.15"/>
    <n v="9520"/>
    <s v="Lahore"/>
    <s v="COD"/>
  </r>
  <r>
    <n v="1132"/>
    <s v="2025-06-14"/>
    <s v="Hina"/>
    <x v="0"/>
    <x v="0"/>
    <n v="1200"/>
    <n v="5"/>
    <n v="0.05"/>
    <n v="5700"/>
    <s v="Lahore"/>
    <s v="Wallet"/>
  </r>
  <r>
    <n v="1133"/>
    <s v="2025-06-23"/>
    <s v="Noor"/>
    <x v="2"/>
    <x v="0"/>
    <n v="2200"/>
    <n v="2"/>
    <n v="0.2"/>
    <n v="3520"/>
    <s v="Multan"/>
    <s v="Wallet"/>
  </r>
  <r>
    <n v="1134"/>
    <s v="2025-05-18"/>
    <s v="Ayesha"/>
    <x v="0"/>
    <x v="0"/>
    <n v="1200"/>
    <n v="2"/>
    <n v="0.2"/>
    <n v="1920"/>
    <s v="Islamabad"/>
    <s v="Wallet"/>
  </r>
  <r>
    <n v="1135"/>
    <s v="2025-06-17"/>
    <s v="Sara"/>
    <x v="0"/>
    <x v="0"/>
    <n v="1200"/>
    <n v="2"/>
    <n v="0.15"/>
    <n v="2040"/>
    <s v="Faisalabad"/>
    <s v="Card"/>
  </r>
  <r>
    <n v="1136"/>
    <s v="2025-04-21"/>
    <s v="Noor"/>
    <x v="2"/>
    <x v="0"/>
    <n v="2200"/>
    <n v="1"/>
    <n v="0.15"/>
    <n v="1870"/>
    <s v="Lahore"/>
    <s v="Card"/>
  </r>
  <r>
    <n v="1137"/>
    <s v="2025-03-26"/>
    <s v="Ali"/>
    <x v="6"/>
    <x v="3"/>
    <n v="900"/>
    <n v="2"/>
    <n v="0.05"/>
    <n v="1710"/>
    <s v="Islamabad"/>
    <s v="Card"/>
  </r>
  <r>
    <n v="1138"/>
    <s v="2025-03-03"/>
    <s v="Usman"/>
    <x v="1"/>
    <x v="1"/>
    <n v="3500"/>
    <n v="1"/>
    <n v="0"/>
    <n v="3500"/>
    <s v="Multan"/>
    <s v="COD"/>
  </r>
  <r>
    <n v="1139"/>
    <s v="2025-04-05"/>
    <s v="Bilal"/>
    <x v="1"/>
    <x v="1"/>
    <n v="3500"/>
    <n v="5"/>
    <n v="0"/>
    <n v="17500"/>
    <s v="Faisalabad"/>
    <s v="Wallet"/>
  </r>
  <r>
    <n v="1140"/>
    <s v="2025-06-09"/>
    <s v="Zain"/>
    <x v="4"/>
    <x v="0"/>
    <n v="2800"/>
    <n v="5"/>
    <n v="0.05"/>
    <n v="13300"/>
    <s v="Multan"/>
    <s v="Card"/>
  </r>
  <r>
    <n v="1141"/>
    <s v="2025-06-28"/>
    <s v="Fatima"/>
    <x v="6"/>
    <x v="3"/>
    <n v="900"/>
    <n v="4"/>
    <n v="0.05"/>
    <n v="3420"/>
    <s v="Multan"/>
    <s v="Card"/>
  </r>
  <r>
    <n v="1142"/>
    <s v="2025-01-08"/>
    <s v="Zain"/>
    <x v="3"/>
    <x v="2"/>
    <n v="4500"/>
    <n v="5"/>
    <n v="0.1"/>
    <n v="20250"/>
    <s v="Faisalabad"/>
    <s v="Card"/>
  </r>
  <r>
    <n v="1143"/>
    <s v="2025-01-13"/>
    <s v="Ahmed"/>
    <x v="1"/>
    <x v="1"/>
    <n v="3500"/>
    <n v="1"/>
    <n v="0"/>
    <n v="3500"/>
    <s v="Islamabad"/>
    <s v="Wallet"/>
  </r>
  <r>
    <n v="1144"/>
    <s v="2025-04-01"/>
    <s v="Sara"/>
    <x v="2"/>
    <x v="0"/>
    <n v="2200"/>
    <n v="5"/>
    <n v="0.05"/>
    <n v="10450"/>
    <s v="Islamabad"/>
    <s v="COD"/>
  </r>
  <r>
    <n v="1145"/>
    <s v="2025-04-17"/>
    <s v="Hina"/>
    <x v="4"/>
    <x v="0"/>
    <n v="2800"/>
    <n v="1"/>
    <n v="0.05"/>
    <n v="2660"/>
    <s v="Islamabad"/>
    <s v="COD"/>
  </r>
  <r>
    <n v="1146"/>
    <s v="2025-03-13"/>
    <s v="Zain"/>
    <x v="0"/>
    <x v="0"/>
    <n v="1200"/>
    <n v="4"/>
    <n v="0.1"/>
    <n v="4320"/>
    <s v="Karachi"/>
    <s v="COD"/>
  </r>
  <r>
    <n v="1147"/>
    <s v="2025-02-14"/>
    <s v="Noor"/>
    <x v="5"/>
    <x v="0"/>
    <n v="5000"/>
    <n v="4"/>
    <n v="0"/>
    <n v="20000"/>
    <s v="Faisalabad"/>
    <s v="COD"/>
  </r>
  <r>
    <n v="1148"/>
    <s v="2025-04-19"/>
    <s v="Bilal"/>
    <x v="6"/>
    <x v="3"/>
    <n v="900"/>
    <n v="1"/>
    <n v="0.15"/>
    <n v="765"/>
    <s v="Islamabad"/>
    <s v="Wallet"/>
  </r>
  <r>
    <n v="1149"/>
    <s v="2025-05-09"/>
    <s v="Usman"/>
    <x v="0"/>
    <x v="0"/>
    <n v="1200"/>
    <n v="3"/>
    <n v="0.1"/>
    <n v="3240"/>
    <s v="Karachi"/>
    <s v="Wallet"/>
  </r>
  <r>
    <n v="1150"/>
    <s v="2025-03-08"/>
    <s v="Bilal"/>
    <x v="5"/>
    <x v="0"/>
    <n v="5000"/>
    <n v="2"/>
    <n v="0.05"/>
    <n v="9500"/>
    <s v="Karachi"/>
    <s v="COD"/>
  </r>
  <r>
    <n v="1151"/>
    <s v="2025-05-25"/>
    <s v="Hina"/>
    <x v="0"/>
    <x v="0"/>
    <n v="1200"/>
    <n v="1"/>
    <n v="0.1"/>
    <n v="1080"/>
    <s v="Lahore"/>
    <s v="COD"/>
  </r>
  <r>
    <n v="1152"/>
    <s v="2025-02-13"/>
    <s v="Zain"/>
    <x v="0"/>
    <x v="0"/>
    <n v="1200"/>
    <n v="1"/>
    <n v="0.2"/>
    <n v="960"/>
    <s v="Faisalabad"/>
    <s v="Wallet"/>
  </r>
  <r>
    <n v="1153"/>
    <s v="2025-03-14"/>
    <s v="Noor"/>
    <x v="4"/>
    <x v="0"/>
    <n v="2800"/>
    <n v="4"/>
    <n v="0.15"/>
    <n v="9520"/>
    <s v="Multan"/>
    <s v="COD"/>
  </r>
  <r>
    <n v="1154"/>
    <s v="2025-02-14"/>
    <s v="Hina"/>
    <x v="4"/>
    <x v="0"/>
    <n v="2800"/>
    <n v="1"/>
    <n v="0.05"/>
    <n v="2660"/>
    <s v="Karachi"/>
    <s v="Card"/>
  </r>
  <r>
    <n v="1155"/>
    <s v="2025-06-12"/>
    <s v="Usman"/>
    <x v="2"/>
    <x v="0"/>
    <n v="2200"/>
    <n v="4"/>
    <n v="0.15"/>
    <n v="7480"/>
    <s v="Faisalabad"/>
    <s v="Wallet"/>
  </r>
  <r>
    <n v="1156"/>
    <s v="2025-03-02"/>
    <s v="Sara"/>
    <x v="2"/>
    <x v="0"/>
    <n v="2200"/>
    <n v="1"/>
    <n v="0.05"/>
    <n v="2090"/>
    <s v="Multan"/>
    <s v="COD"/>
  </r>
  <r>
    <n v="1157"/>
    <s v="2025-06-19"/>
    <s v="Sara"/>
    <x v="1"/>
    <x v="1"/>
    <n v="3500"/>
    <n v="2"/>
    <n v="0.2"/>
    <n v="5600"/>
    <s v="Multan"/>
    <s v="COD"/>
  </r>
  <r>
    <n v="1158"/>
    <s v="2025-06-09"/>
    <s v="Bilal"/>
    <x v="3"/>
    <x v="2"/>
    <n v="4500"/>
    <n v="4"/>
    <n v="0.1"/>
    <n v="16200"/>
    <s v="Islamabad"/>
    <s v="COD"/>
  </r>
  <r>
    <n v="1159"/>
    <s v="2025-06-03"/>
    <s v="Hina"/>
    <x v="3"/>
    <x v="2"/>
    <n v="4500"/>
    <n v="1"/>
    <n v="0.2"/>
    <n v="3600"/>
    <s v="Lahore"/>
    <s v="COD"/>
  </r>
  <r>
    <n v="1160"/>
    <s v="2025-01-05"/>
    <s v="Ayesha"/>
    <x v="5"/>
    <x v="0"/>
    <n v="5000"/>
    <n v="3"/>
    <n v="0.1"/>
    <n v="13500"/>
    <s v="Karachi"/>
    <s v="Wallet"/>
  </r>
  <r>
    <n v="1161"/>
    <s v="2025-02-21"/>
    <s v="Ahmed"/>
    <x v="0"/>
    <x v="0"/>
    <n v="1200"/>
    <n v="3"/>
    <n v="0.2"/>
    <n v="2880"/>
    <s v="Multan"/>
    <s v="Wallet"/>
  </r>
  <r>
    <n v="1162"/>
    <s v="2025-06-09"/>
    <s v="Usman"/>
    <x v="2"/>
    <x v="0"/>
    <n v="2200"/>
    <n v="4"/>
    <n v="0.15"/>
    <n v="7480"/>
    <s v="Lahore"/>
    <s v="Wallet"/>
  </r>
  <r>
    <n v="1163"/>
    <s v="2025-03-24"/>
    <s v="Bilal"/>
    <x v="3"/>
    <x v="2"/>
    <n v="4500"/>
    <n v="2"/>
    <n v="0.1"/>
    <n v="8100"/>
    <s v="Islamabad"/>
    <s v="COD"/>
  </r>
  <r>
    <n v="1164"/>
    <s v="2025-03-22"/>
    <s v="Sara"/>
    <x v="2"/>
    <x v="0"/>
    <n v="2200"/>
    <n v="1"/>
    <n v="0.2"/>
    <n v="1760"/>
    <s v="Karachi"/>
    <s v="Wallet"/>
  </r>
  <r>
    <n v="1165"/>
    <s v="2025-03-26"/>
    <s v="Ali"/>
    <x v="1"/>
    <x v="1"/>
    <n v="3500"/>
    <n v="4"/>
    <n v="0.1"/>
    <n v="12600"/>
    <s v="Lahore"/>
    <s v="COD"/>
  </r>
  <r>
    <n v="1166"/>
    <s v="2025-04-15"/>
    <s v="Sara"/>
    <x v="0"/>
    <x v="0"/>
    <n v="1200"/>
    <n v="1"/>
    <n v="0"/>
    <n v="1200"/>
    <s v="Multan"/>
    <s v="Card"/>
  </r>
  <r>
    <n v="1167"/>
    <s v="2025-06-24"/>
    <s v="Zain"/>
    <x v="2"/>
    <x v="0"/>
    <n v="2200"/>
    <n v="4"/>
    <n v="0.15"/>
    <n v="7480"/>
    <s v="Lahore"/>
    <s v="Wallet"/>
  </r>
  <r>
    <n v="1168"/>
    <s v="2025-05-10"/>
    <s v="Usman"/>
    <x v="5"/>
    <x v="0"/>
    <n v="5000"/>
    <n v="2"/>
    <n v="0.15"/>
    <n v="8500"/>
    <s v="Islamabad"/>
    <s v="Card"/>
  </r>
  <r>
    <n v="1169"/>
    <s v="2025-02-13"/>
    <s v="Bilal"/>
    <x v="1"/>
    <x v="1"/>
    <n v="3500"/>
    <n v="3"/>
    <n v="0.1"/>
    <n v="9450"/>
    <s v="Multan"/>
    <s v="Card"/>
  </r>
  <r>
    <n v="1170"/>
    <s v="2025-03-08"/>
    <s v="Ali"/>
    <x v="6"/>
    <x v="3"/>
    <n v="900"/>
    <n v="1"/>
    <n v="0.1"/>
    <n v="810"/>
    <s v="Faisalabad"/>
    <s v="Wallet"/>
  </r>
  <r>
    <n v="1171"/>
    <s v="2025-04-16"/>
    <s v="Hina"/>
    <x v="5"/>
    <x v="0"/>
    <n v="5000"/>
    <n v="3"/>
    <n v="0.05"/>
    <n v="14250"/>
    <s v="Multan"/>
    <s v="COD"/>
  </r>
  <r>
    <n v="1172"/>
    <s v="2025-04-04"/>
    <s v="Sara"/>
    <x v="0"/>
    <x v="0"/>
    <n v="1200"/>
    <n v="3"/>
    <n v="0"/>
    <n v="3600"/>
    <s v="Faisalabad"/>
    <s v="COD"/>
  </r>
  <r>
    <n v="1173"/>
    <s v="2025-03-16"/>
    <s v="Zain"/>
    <x v="3"/>
    <x v="2"/>
    <n v="4500"/>
    <n v="5"/>
    <n v="0.05"/>
    <n v="21375"/>
    <s v="Multan"/>
    <s v="COD"/>
  </r>
  <r>
    <n v="1174"/>
    <s v="2025-04-25"/>
    <s v="Ali"/>
    <x v="4"/>
    <x v="0"/>
    <n v="2800"/>
    <n v="3"/>
    <n v="0.15"/>
    <n v="7140"/>
    <s v="Multan"/>
    <s v="Card"/>
  </r>
  <r>
    <n v="1175"/>
    <s v="2025-01-11"/>
    <s v="Hina"/>
    <x v="6"/>
    <x v="3"/>
    <n v="900"/>
    <n v="4"/>
    <n v="0.15"/>
    <n v="3060"/>
    <s v="Faisalabad"/>
    <s v="COD"/>
  </r>
  <r>
    <n v="1176"/>
    <s v="2025-06-11"/>
    <s v="Zain"/>
    <x v="1"/>
    <x v="1"/>
    <n v="3500"/>
    <n v="2"/>
    <n v="0.15"/>
    <n v="5950"/>
    <s v="Karachi"/>
    <s v="Card"/>
  </r>
  <r>
    <n v="1177"/>
    <s v="2025-06-25"/>
    <s v="Ayesha"/>
    <x v="4"/>
    <x v="0"/>
    <n v="2800"/>
    <n v="3"/>
    <n v="0.2"/>
    <n v="6720"/>
    <s v="Karachi"/>
    <s v="Card"/>
  </r>
  <r>
    <n v="1178"/>
    <s v="2025-06-04"/>
    <s v="Ayesha"/>
    <x v="1"/>
    <x v="1"/>
    <n v="3500"/>
    <n v="5"/>
    <n v="0.15"/>
    <n v="14875"/>
    <s v="Multan"/>
    <s v="Card"/>
  </r>
  <r>
    <n v="1179"/>
    <s v="2025-06-15"/>
    <s v="Noor"/>
    <x v="2"/>
    <x v="0"/>
    <n v="2200"/>
    <n v="2"/>
    <n v="0"/>
    <n v="4400"/>
    <s v="Lahore"/>
    <s v="COD"/>
  </r>
  <r>
    <n v="1180"/>
    <s v="2025-02-22"/>
    <s v="Fatima"/>
    <x v="5"/>
    <x v="0"/>
    <n v="5000"/>
    <n v="5"/>
    <n v="0"/>
    <n v="25000"/>
    <s v="Lahore"/>
    <s v="Card"/>
  </r>
  <r>
    <n v="1181"/>
    <s v="2025-06-11"/>
    <s v="Hina"/>
    <x v="0"/>
    <x v="0"/>
    <n v="1200"/>
    <n v="3"/>
    <n v="0.1"/>
    <n v="3240"/>
    <s v="Karachi"/>
    <s v="Wallet"/>
  </r>
  <r>
    <n v="1182"/>
    <s v="2025-01-13"/>
    <s v="Fatima"/>
    <x v="4"/>
    <x v="0"/>
    <n v="2800"/>
    <n v="3"/>
    <n v="0"/>
    <n v="8400"/>
    <s v="Multan"/>
    <s v="COD"/>
  </r>
  <r>
    <n v="1183"/>
    <s v="2025-01-11"/>
    <s v="Bilal"/>
    <x v="5"/>
    <x v="0"/>
    <n v="5000"/>
    <n v="4"/>
    <n v="0"/>
    <n v="20000"/>
    <s v="Multan"/>
    <s v="COD"/>
  </r>
  <r>
    <n v="1184"/>
    <s v="2025-06-17"/>
    <s v="Sara"/>
    <x v="5"/>
    <x v="0"/>
    <n v="5000"/>
    <n v="3"/>
    <n v="0"/>
    <n v="15000"/>
    <s v="Faisalabad"/>
    <s v="Wallet"/>
  </r>
  <r>
    <n v="1185"/>
    <s v="2025-01-10"/>
    <s v="Sara"/>
    <x v="6"/>
    <x v="3"/>
    <n v="900"/>
    <n v="2"/>
    <n v="0"/>
    <n v="1800"/>
    <s v="Islamabad"/>
    <s v="COD"/>
  </r>
  <r>
    <n v="1186"/>
    <s v="2025-06-21"/>
    <s v="Fatima"/>
    <x v="5"/>
    <x v="0"/>
    <n v="5000"/>
    <n v="2"/>
    <n v="0.15"/>
    <n v="8500"/>
    <s v="Lahore"/>
    <s v="COD"/>
  </r>
  <r>
    <n v="1187"/>
    <s v="2025-02-21"/>
    <s v="Usman"/>
    <x v="4"/>
    <x v="0"/>
    <n v="2800"/>
    <n v="4"/>
    <n v="0"/>
    <n v="11200"/>
    <s v="Lahore"/>
    <s v="Wallet"/>
  </r>
  <r>
    <n v="1188"/>
    <s v="2025-05-11"/>
    <s v="Noor"/>
    <x v="3"/>
    <x v="2"/>
    <n v="4500"/>
    <n v="1"/>
    <n v="0.1"/>
    <n v="4050"/>
    <s v="Karachi"/>
    <s v="Wallet"/>
  </r>
  <r>
    <n v="1189"/>
    <s v="2025-05-24"/>
    <s v="Zain"/>
    <x v="2"/>
    <x v="0"/>
    <n v="2200"/>
    <n v="3"/>
    <n v="0.1"/>
    <n v="5940"/>
    <s v="Faisalabad"/>
    <s v="Card"/>
  </r>
  <r>
    <n v="1190"/>
    <s v="2025-02-05"/>
    <s v="Usman"/>
    <x v="3"/>
    <x v="2"/>
    <n v="4500"/>
    <n v="4"/>
    <n v="0.05"/>
    <n v="17100"/>
    <s v="Lahore"/>
    <s v="COD"/>
  </r>
  <r>
    <n v="1191"/>
    <s v="2025-04-14"/>
    <s v="Noor"/>
    <x v="4"/>
    <x v="0"/>
    <n v="2800"/>
    <n v="1"/>
    <n v="0"/>
    <n v="2800"/>
    <s v="Islamabad"/>
    <s v="Card"/>
  </r>
  <r>
    <n v="1192"/>
    <s v="2025-06-25"/>
    <s v="Zain"/>
    <x v="0"/>
    <x v="0"/>
    <n v="1200"/>
    <n v="5"/>
    <n v="0.15"/>
    <n v="5100"/>
    <s v="Multan"/>
    <s v="Card"/>
  </r>
  <r>
    <n v="1193"/>
    <s v="2025-04-05"/>
    <s v="Sara"/>
    <x v="4"/>
    <x v="0"/>
    <n v="2800"/>
    <n v="4"/>
    <n v="0.15"/>
    <n v="9520"/>
    <s v="Karachi"/>
    <s v="Wallet"/>
  </r>
  <r>
    <n v="1194"/>
    <s v="2025-06-24"/>
    <s v="Usman"/>
    <x v="0"/>
    <x v="0"/>
    <n v="1200"/>
    <n v="4"/>
    <n v="0.05"/>
    <n v="4560"/>
    <s v="Multan"/>
    <s v="Wallet"/>
  </r>
  <r>
    <n v="1195"/>
    <s v="2025-01-22"/>
    <s v="Usman"/>
    <x v="2"/>
    <x v="0"/>
    <n v="2200"/>
    <n v="2"/>
    <n v="0.05"/>
    <n v="4180"/>
    <s v="Islamabad"/>
    <s v="COD"/>
  </r>
  <r>
    <n v="1196"/>
    <s v="2025-04-27"/>
    <s v="Noor"/>
    <x v="5"/>
    <x v="0"/>
    <n v="5000"/>
    <n v="4"/>
    <n v="0"/>
    <n v="20000"/>
    <s v="Lahore"/>
    <s v="Card"/>
  </r>
  <r>
    <n v="1197"/>
    <s v="2025-01-17"/>
    <s v="Hina"/>
    <x v="5"/>
    <x v="0"/>
    <n v="5000"/>
    <n v="1"/>
    <n v="0"/>
    <n v="5000"/>
    <s v="Multan"/>
    <s v="COD"/>
  </r>
  <r>
    <n v="1198"/>
    <s v="2025-01-21"/>
    <s v="Zain"/>
    <x v="0"/>
    <x v="0"/>
    <n v="1200"/>
    <n v="1"/>
    <n v="0.1"/>
    <n v="1080"/>
    <s v="Lahore"/>
    <s v="COD"/>
  </r>
  <r>
    <n v="1199"/>
    <s v="2025-01-06"/>
    <s v="Ahmed"/>
    <x v="6"/>
    <x v="3"/>
    <n v="900"/>
    <n v="5"/>
    <n v="0"/>
    <n v="4500"/>
    <s v="Karachi"/>
    <s v="Card"/>
  </r>
  <r>
    <n v="1200"/>
    <s v="2025-06-05"/>
    <s v="Fatima"/>
    <x v="1"/>
    <x v="1"/>
    <n v="3500"/>
    <n v="4"/>
    <n v="0.15"/>
    <n v="11900"/>
    <s v="Faisalabad"/>
    <s v="COD"/>
  </r>
  <r>
    <n v="1201"/>
    <s v="2025-06-25"/>
    <s v="Usman"/>
    <x v="2"/>
    <x v="0"/>
    <n v="2200"/>
    <n v="5"/>
    <n v="0.15"/>
    <n v="9350"/>
    <s v="Islamabad"/>
    <s v="Card"/>
  </r>
  <r>
    <n v="1202"/>
    <s v="2025-02-27"/>
    <s v="Fatima"/>
    <x v="1"/>
    <x v="1"/>
    <n v="3500"/>
    <n v="4"/>
    <n v="0.05"/>
    <n v="13300"/>
    <s v="Islamabad"/>
    <s v="Card"/>
  </r>
  <r>
    <n v="1203"/>
    <s v="2025-02-24"/>
    <s v="Bilal"/>
    <x v="6"/>
    <x v="3"/>
    <n v="900"/>
    <n v="1"/>
    <n v="0.1"/>
    <n v="810"/>
    <s v="Multan"/>
    <s v="COD"/>
  </r>
  <r>
    <n v="1204"/>
    <s v="2025-01-19"/>
    <s v="Usman"/>
    <x v="6"/>
    <x v="3"/>
    <n v="900"/>
    <n v="4"/>
    <n v="0.15"/>
    <n v="3060"/>
    <s v="Multan"/>
    <s v="COD"/>
  </r>
  <r>
    <n v="1205"/>
    <s v="2025-04-10"/>
    <s v="Ayesha"/>
    <x v="6"/>
    <x v="3"/>
    <n v="900"/>
    <n v="1"/>
    <n v="0"/>
    <n v="900"/>
    <s v="Faisalabad"/>
    <s v="COD"/>
  </r>
  <r>
    <n v="1206"/>
    <s v="2025-01-03"/>
    <s v="Fatima"/>
    <x v="1"/>
    <x v="1"/>
    <n v="3500"/>
    <n v="1"/>
    <n v="0.15"/>
    <n v="2975"/>
    <s v="Islamabad"/>
    <s v="Wallet"/>
  </r>
  <r>
    <n v="1207"/>
    <s v="2025-02-13"/>
    <s v="Fatima"/>
    <x v="0"/>
    <x v="0"/>
    <n v="1200"/>
    <n v="3"/>
    <n v="0.1"/>
    <n v="3240"/>
    <s v="Lahore"/>
    <s v="Card"/>
  </r>
  <r>
    <n v="1208"/>
    <s v="2025-06-07"/>
    <s v="Bilal"/>
    <x v="0"/>
    <x v="0"/>
    <n v="1200"/>
    <n v="3"/>
    <n v="0.1"/>
    <n v="3240"/>
    <s v="Islamabad"/>
    <s v="Wallet"/>
  </r>
  <r>
    <n v="1209"/>
    <s v="2025-06-22"/>
    <s v="Zain"/>
    <x v="6"/>
    <x v="3"/>
    <n v="900"/>
    <n v="1"/>
    <n v="0.15"/>
    <n v="765"/>
    <s v="Lahore"/>
    <s v="COD"/>
  </r>
  <r>
    <n v="1210"/>
    <s v="2025-01-19"/>
    <s v="Ali"/>
    <x v="5"/>
    <x v="0"/>
    <n v="5000"/>
    <n v="4"/>
    <n v="0.15"/>
    <n v="17000"/>
    <s v="Karachi"/>
    <s v="Wallet"/>
  </r>
  <r>
    <n v="1211"/>
    <s v="2025-02-24"/>
    <s v="Fatima"/>
    <x v="6"/>
    <x v="3"/>
    <n v="900"/>
    <n v="5"/>
    <n v="0"/>
    <n v="4500"/>
    <s v="Islamabad"/>
    <s v="Card"/>
  </r>
  <r>
    <n v="1212"/>
    <s v="2025-03-05"/>
    <s v="Usman"/>
    <x v="3"/>
    <x v="2"/>
    <n v="4500"/>
    <n v="5"/>
    <n v="0.2"/>
    <n v="18000"/>
    <s v="Multan"/>
    <s v="Wallet"/>
  </r>
  <r>
    <n v="1213"/>
    <s v="2025-04-17"/>
    <s v="Fatima"/>
    <x v="4"/>
    <x v="0"/>
    <n v="2800"/>
    <n v="1"/>
    <n v="0.15"/>
    <n v="2380"/>
    <s v="Lahore"/>
    <s v="Wallet"/>
  </r>
  <r>
    <n v="1214"/>
    <s v="2025-04-01"/>
    <s v="Ali"/>
    <x v="3"/>
    <x v="2"/>
    <n v="4500"/>
    <n v="1"/>
    <n v="0.2"/>
    <n v="3600"/>
    <s v="Multan"/>
    <s v="Card"/>
  </r>
  <r>
    <n v="1215"/>
    <s v="2025-01-22"/>
    <s v="Usman"/>
    <x v="1"/>
    <x v="1"/>
    <n v="3500"/>
    <n v="2"/>
    <n v="0.15"/>
    <n v="5950"/>
    <s v="Faisalabad"/>
    <s v="COD"/>
  </r>
  <r>
    <n v="1216"/>
    <s v="2025-04-14"/>
    <s v="Ayesha"/>
    <x v="3"/>
    <x v="2"/>
    <n v="4500"/>
    <n v="4"/>
    <n v="0"/>
    <n v="18000"/>
    <s v="Faisalabad"/>
    <s v="COD"/>
  </r>
  <r>
    <n v="1217"/>
    <s v="2025-04-25"/>
    <s v="Zain"/>
    <x v="1"/>
    <x v="1"/>
    <n v="3500"/>
    <n v="3"/>
    <n v="0"/>
    <n v="10500"/>
    <s v="Lahore"/>
    <s v="COD"/>
  </r>
  <r>
    <n v="1218"/>
    <s v="2025-01-04"/>
    <s v="Noor"/>
    <x v="1"/>
    <x v="1"/>
    <n v="3500"/>
    <n v="4"/>
    <n v="0.1"/>
    <n v="12600"/>
    <s v="Multan"/>
    <s v="COD"/>
  </r>
  <r>
    <n v="1219"/>
    <s v="2025-01-29"/>
    <s v="Bilal"/>
    <x v="6"/>
    <x v="3"/>
    <n v="900"/>
    <n v="3"/>
    <n v="0.15"/>
    <n v="2295"/>
    <s v="Islamabad"/>
    <s v="Wallet"/>
  </r>
  <r>
    <n v="1220"/>
    <s v="2025-06-10"/>
    <s v="Fatima"/>
    <x v="5"/>
    <x v="0"/>
    <n v="5000"/>
    <n v="2"/>
    <n v="0.05"/>
    <n v="9500"/>
    <s v="Lahore"/>
    <s v="Card"/>
  </r>
  <r>
    <n v="1221"/>
    <s v="2025-01-19"/>
    <s v="Ayesha"/>
    <x v="0"/>
    <x v="0"/>
    <n v="1200"/>
    <n v="1"/>
    <n v="0.2"/>
    <n v="960"/>
    <s v="Karachi"/>
    <s v="COD"/>
  </r>
  <r>
    <n v="1222"/>
    <s v="2025-03-09"/>
    <s v="Hina"/>
    <x v="5"/>
    <x v="0"/>
    <n v="5000"/>
    <n v="3"/>
    <n v="0.1"/>
    <n v="13500"/>
    <s v="Lahore"/>
    <s v="COD"/>
  </r>
  <r>
    <n v="1223"/>
    <s v="2025-06-08"/>
    <s v="Ali"/>
    <x v="2"/>
    <x v="0"/>
    <n v="2200"/>
    <n v="1"/>
    <n v="0.05"/>
    <n v="2090"/>
    <s v="Faisalabad"/>
    <s v="Card"/>
  </r>
  <r>
    <n v="1224"/>
    <s v="2025-04-06"/>
    <s v="Ahmed"/>
    <x v="3"/>
    <x v="2"/>
    <n v="4500"/>
    <n v="5"/>
    <n v="0.05"/>
    <n v="21375"/>
    <s v="Faisalabad"/>
    <s v="COD"/>
  </r>
  <r>
    <n v="1225"/>
    <s v="2025-03-01"/>
    <s v="Noor"/>
    <x v="2"/>
    <x v="0"/>
    <n v="2200"/>
    <n v="2"/>
    <n v="0.2"/>
    <n v="3520"/>
    <s v="Islamabad"/>
    <s v="Wallet"/>
  </r>
  <r>
    <n v="1226"/>
    <s v="2025-05-01"/>
    <s v="Ayesha"/>
    <x v="6"/>
    <x v="3"/>
    <n v="900"/>
    <n v="5"/>
    <n v="0.2"/>
    <n v="3600"/>
    <s v="Karachi"/>
    <s v="Card"/>
  </r>
  <r>
    <n v="1227"/>
    <s v="2025-06-05"/>
    <s v="Usman"/>
    <x v="6"/>
    <x v="3"/>
    <n v="900"/>
    <n v="1"/>
    <n v="0"/>
    <n v="900"/>
    <s v="Islamabad"/>
    <s v="Card"/>
  </r>
  <r>
    <n v="1228"/>
    <s v="2025-06-08"/>
    <s v="Sara"/>
    <x v="0"/>
    <x v="0"/>
    <n v="1200"/>
    <n v="4"/>
    <n v="0.2"/>
    <n v="3840"/>
    <s v="Faisalabad"/>
    <s v="Card"/>
  </r>
  <r>
    <n v="1229"/>
    <s v="2025-01-30"/>
    <s v="Ali"/>
    <x v="6"/>
    <x v="3"/>
    <n v="900"/>
    <n v="2"/>
    <n v="0.1"/>
    <n v="1620"/>
    <s v="Faisalabad"/>
    <s v="Wallet"/>
  </r>
  <r>
    <n v="1230"/>
    <s v="2025-05-27"/>
    <s v="Fatima"/>
    <x v="5"/>
    <x v="0"/>
    <n v="5000"/>
    <n v="5"/>
    <n v="0"/>
    <n v="25000"/>
    <s v="Islamabad"/>
    <s v="Card"/>
  </r>
  <r>
    <n v="1231"/>
    <s v="2025-01-16"/>
    <s v="Sara"/>
    <x v="4"/>
    <x v="0"/>
    <n v="2800"/>
    <n v="1"/>
    <n v="0.1"/>
    <n v="2520"/>
    <s v="Karachi"/>
    <s v="COD"/>
  </r>
  <r>
    <n v="1232"/>
    <s v="2025-01-02"/>
    <s v="Ayesha"/>
    <x v="6"/>
    <x v="3"/>
    <n v="900"/>
    <n v="2"/>
    <n v="0.05"/>
    <n v="1710"/>
    <s v="Multan"/>
    <s v="Card"/>
  </r>
  <r>
    <n v="1233"/>
    <s v="2025-01-26"/>
    <s v="Noor"/>
    <x v="1"/>
    <x v="1"/>
    <n v="3500"/>
    <n v="1"/>
    <n v="0.05"/>
    <n v="3325"/>
    <s v="Islamabad"/>
    <s v="COD"/>
  </r>
  <r>
    <n v="1234"/>
    <s v="2025-02-07"/>
    <s v="Bilal"/>
    <x v="2"/>
    <x v="0"/>
    <n v="2200"/>
    <n v="4"/>
    <n v="0"/>
    <n v="8800"/>
    <s v="Multan"/>
    <s v="Card"/>
  </r>
  <r>
    <n v="1235"/>
    <s v="2025-03-24"/>
    <s v="Fatima"/>
    <x v="4"/>
    <x v="0"/>
    <n v="2800"/>
    <n v="4"/>
    <n v="0.05"/>
    <n v="10640"/>
    <s v="Karachi"/>
    <s v="COD"/>
  </r>
  <r>
    <n v="1236"/>
    <s v="2025-06-07"/>
    <s v="Ayesha"/>
    <x v="5"/>
    <x v="0"/>
    <n v="5000"/>
    <n v="5"/>
    <n v="0.1"/>
    <n v="22500"/>
    <s v="Faisalabad"/>
    <s v="Card"/>
  </r>
  <r>
    <n v="1237"/>
    <s v="2025-03-05"/>
    <s v="Ayesha"/>
    <x v="6"/>
    <x v="3"/>
    <n v="900"/>
    <n v="5"/>
    <n v="0.1"/>
    <n v="4050"/>
    <s v="Islamabad"/>
    <s v="Card"/>
  </r>
  <r>
    <n v="1238"/>
    <s v="2025-05-03"/>
    <s v="Ayesha"/>
    <x v="1"/>
    <x v="1"/>
    <n v="3500"/>
    <n v="5"/>
    <n v="0.15"/>
    <n v="14875"/>
    <s v="Karachi"/>
    <s v="COD"/>
  </r>
  <r>
    <n v="1239"/>
    <s v="2025-04-29"/>
    <s v="Fatima"/>
    <x v="1"/>
    <x v="1"/>
    <n v="3500"/>
    <n v="4"/>
    <n v="0.05"/>
    <n v="13300"/>
    <s v="Faisalabad"/>
    <s v="Card"/>
  </r>
  <r>
    <n v="1240"/>
    <s v="2025-04-05"/>
    <s v="Ayesha"/>
    <x v="5"/>
    <x v="0"/>
    <n v="5000"/>
    <n v="2"/>
    <n v="0.2"/>
    <n v="8000"/>
    <s v="Multan"/>
    <s v="COD"/>
  </r>
  <r>
    <n v="1241"/>
    <s v="2025-06-16"/>
    <s v="Fatima"/>
    <x v="6"/>
    <x v="3"/>
    <n v="900"/>
    <n v="3"/>
    <n v="0.05"/>
    <n v="2565"/>
    <s v="Karachi"/>
    <s v="Wallet"/>
  </r>
  <r>
    <n v="1242"/>
    <s v="2025-02-27"/>
    <s v="Ayesha"/>
    <x v="6"/>
    <x v="3"/>
    <n v="900"/>
    <n v="5"/>
    <n v="0.05"/>
    <n v="4275"/>
    <s v="Karachi"/>
    <s v="COD"/>
  </r>
  <r>
    <n v="1243"/>
    <s v="2025-04-16"/>
    <s v="Ahmed"/>
    <x v="4"/>
    <x v="0"/>
    <n v="2800"/>
    <n v="1"/>
    <n v="0.15"/>
    <n v="2380"/>
    <s v="Lahore"/>
    <s v="COD"/>
  </r>
  <r>
    <n v="1244"/>
    <s v="2025-04-24"/>
    <s v="Noor"/>
    <x v="4"/>
    <x v="0"/>
    <n v="2800"/>
    <n v="3"/>
    <n v="0.05"/>
    <n v="7980"/>
    <s v="Multan"/>
    <s v="Card"/>
  </r>
  <r>
    <n v="1245"/>
    <s v="2025-04-15"/>
    <s v="Hina"/>
    <x v="2"/>
    <x v="0"/>
    <n v="2200"/>
    <n v="4"/>
    <n v="0.1"/>
    <n v="7920"/>
    <s v="Multan"/>
    <s v="COD"/>
  </r>
  <r>
    <n v="1246"/>
    <s v="2025-06-23"/>
    <s v="Sara"/>
    <x v="1"/>
    <x v="1"/>
    <n v="3500"/>
    <n v="5"/>
    <n v="0.1"/>
    <n v="15750"/>
    <s v="Faisalabad"/>
    <s v="COD"/>
  </r>
  <r>
    <n v="1247"/>
    <s v="2025-04-22"/>
    <s v="Ayesha"/>
    <x v="3"/>
    <x v="2"/>
    <n v="4500"/>
    <n v="3"/>
    <n v="0.1"/>
    <n v="12150"/>
    <s v="Multan"/>
    <s v="COD"/>
  </r>
  <r>
    <n v="1248"/>
    <s v="2025-01-10"/>
    <s v="Bilal"/>
    <x v="1"/>
    <x v="1"/>
    <n v="3500"/>
    <n v="2"/>
    <n v="0"/>
    <n v="7000"/>
    <s v="Islamabad"/>
    <s v="Card"/>
  </r>
  <r>
    <n v="1249"/>
    <s v="2025-01-18"/>
    <s v="Fatima"/>
    <x v="6"/>
    <x v="3"/>
    <n v="900"/>
    <n v="2"/>
    <n v="0"/>
    <n v="1800"/>
    <s v="Lahore"/>
    <s v="Wallet"/>
  </r>
  <r>
    <n v="1250"/>
    <s v="2025-06-28"/>
    <s v="Usman"/>
    <x v="0"/>
    <x v="0"/>
    <n v="1200"/>
    <n v="4"/>
    <n v="0.2"/>
    <n v="3840"/>
    <s v="Islamabad"/>
    <s v="Card"/>
  </r>
  <r>
    <n v="1251"/>
    <s v="2025-01-03"/>
    <s v="Ahmed"/>
    <x v="2"/>
    <x v="0"/>
    <n v="2200"/>
    <n v="1"/>
    <n v="0.1"/>
    <n v="1980"/>
    <s v="Lahore"/>
    <s v="COD"/>
  </r>
  <r>
    <n v="1252"/>
    <s v="2025-03-11"/>
    <s v="Bilal"/>
    <x v="1"/>
    <x v="1"/>
    <n v="3500"/>
    <n v="1"/>
    <n v="0.15"/>
    <n v="2975"/>
    <s v="Islamabad"/>
    <s v="COD"/>
  </r>
  <r>
    <n v="1253"/>
    <s v="2025-02-21"/>
    <s v="Bilal"/>
    <x v="5"/>
    <x v="0"/>
    <n v="5000"/>
    <n v="4"/>
    <n v="0.1"/>
    <n v="18000"/>
    <s v="Faisalabad"/>
    <s v="Card"/>
  </r>
  <r>
    <n v="1254"/>
    <s v="2025-05-18"/>
    <s v="Hina"/>
    <x v="6"/>
    <x v="3"/>
    <n v="900"/>
    <n v="4"/>
    <n v="0.2"/>
    <n v="2880"/>
    <s v="Karachi"/>
    <s v="Card"/>
  </r>
  <r>
    <n v="1255"/>
    <s v="2025-05-03"/>
    <s v="Ayesha"/>
    <x v="4"/>
    <x v="0"/>
    <n v="2800"/>
    <n v="5"/>
    <n v="0"/>
    <n v="14000"/>
    <s v="Karachi"/>
    <s v="Wallet"/>
  </r>
  <r>
    <n v="1256"/>
    <s v="2025-02-27"/>
    <s v="Fatima"/>
    <x v="0"/>
    <x v="0"/>
    <n v="1200"/>
    <n v="1"/>
    <n v="0.05"/>
    <n v="1140"/>
    <s v="Lahore"/>
    <s v="Wallet"/>
  </r>
  <r>
    <n v="1257"/>
    <s v="2025-06-13"/>
    <s v="Usman"/>
    <x v="3"/>
    <x v="2"/>
    <n v="4500"/>
    <n v="4"/>
    <n v="0"/>
    <n v="18000"/>
    <s v="Lahore"/>
    <s v="Wallet"/>
  </r>
  <r>
    <n v="1258"/>
    <s v="2025-02-07"/>
    <s v="Noor"/>
    <x v="2"/>
    <x v="0"/>
    <n v="2200"/>
    <n v="3"/>
    <n v="0.2"/>
    <n v="5280"/>
    <s v="Islamabad"/>
    <s v="Card"/>
  </r>
  <r>
    <n v="1259"/>
    <s v="2025-05-09"/>
    <s v="Ali"/>
    <x v="0"/>
    <x v="0"/>
    <n v="1200"/>
    <n v="1"/>
    <n v="0.1"/>
    <n v="1080"/>
    <s v="Lahore"/>
    <s v="Wallet"/>
  </r>
  <r>
    <n v="1260"/>
    <s v="2025-05-10"/>
    <s v="Hina"/>
    <x v="6"/>
    <x v="3"/>
    <n v="900"/>
    <n v="1"/>
    <n v="0.2"/>
    <n v="720"/>
    <s v="Multan"/>
    <s v="COD"/>
  </r>
  <r>
    <n v="1261"/>
    <s v="2025-02-14"/>
    <s v="Noor"/>
    <x v="4"/>
    <x v="0"/>
    <n v="2800"/>
    <n v="2"/>
    <n v="0.2"/>
    <n v="4480"/>
    <s v="Lahore"/>
    <s v="Wallet"/>
  </r>
  <r>
    <n v="1262"/>
    <s v="2025-02-15"/>
    <s v="Noor"/>
    <x v="3"/>
    <x v="2"/>
    <n v="4500"/>
    <n v="3"/>
    <n v="0.15"/>
    <n v="11475"/>
    <s v="Karachi"/>
    <s v="COD"/>
  </r>
  <r>
    <n v="1263"/>
    <s v="2025-05-07"/>
    <s v="Bilal"/>
    <x v="2"/>
    <x v="0"/>
    <n v="2200"/>
    <n v="4"/>
    <n v="0.05"/>
    <n v="8360"/>
    <s v="Faisalabad"/>
    <s v="Card"/>
  </r>
  <r>
    <n v="1264"/>
    <s v="2025-05-19"/>
    <s v="Usman"/>
    <x v="3"/>
    <x v="2"/>
    <n v="4500"/>
    <n v="4"/>
    <n v="0.15"/>
    <n v="15300"/>
    <s v="Multan"/>
    <s v="COD"/>
  </r>
  <r>
    <n v="1265"/>
    <s v="2025-04-10"/>
    <s v="Ahmed"/>
    <x v="2"/>
    <x v="0"/>
    <n v="2200"/>
    <n v="2"/>
    <n v="0.15"/>
    <n v="3740"/>
    <s v="Lahore"/>
    <s v="COD"/>
  </r>
  <r>
    <n v="1266"/>
    <s v="2025-01-29"/>
    <s v="Usman"/>
    <x v="5"/>
    <x v="0"/>
    <n v="5000"/>
    <n v="3"/>
    <n v="0.2"/>
    <n v="12000"/>
    <s v="Lahore"/>
    <s v="Card"/>
  </r>
  <r>
    <n v="1267"/>
    <s v="2025-03-20"/>
    <s v="Noor"/>
    <x v="3"/>
    <x v="2"/>
    <n v="4500"/>
    <n v="4"/>
    <n v="0.1"/>
    <n v="16200"/>
    <s v="Karachi"/>
    <s v="Card"/>
  </r>
  <r>
    <n v="1268"/>
    <s v="2025-05-18"/>
    <s v="Fatima"/>
    <x v="2"/>
    <x v="0"/>
    <n v="2200"/>
    <n v="5"/>
    <n v="0"/>
    <n v="11000"/>
    <s v="Lahore"/>
    <s v="Card"/>
  </r>
  <r>
    <n v="1269"/>
    <s v="2025-05-18"/>
    <s v="Fatima"/>
    <x v="1"/>
    <x v="1"/>
    <n v="3500"/>
    <n v="4"/>
    <n v="0.1"/>
    <n v="12600"/>
    <s v="Karachi"/>
    <s v="Wallet"/>
  </r>
  <r>
    <n v="1270"/>
    <s v="2025-04-15"/>
    <s v="Sara"/>
    <x v="3"/>
    <x v="2"/>
    <n v="4500"/>
    <n v="4"/>
    <n v="0.05"/>
    <n v="17100"/>
    <s v="Multan"/>
    <s v="Card"/>
  </r>
  <r>
    <n v="1271"/>
    <s v="2025-03-11"/>
    <s v="Zain"/>
    <x v="6"/>
    <x v="3"/>
    <n v="900"/>
    <n v="3"/>
    <n v="0.15"/>
    <n v="2295"/>
    <s v="Multan"/>
    <s v="Card"/>
  </r>
  <r>
    <n v="1272"/>
    <s v="2025-05-14"/>
    <s v="Ali"/>
    <x v="4"/>
    <x v="0"/>
    <n v="2800"/>
    <n v="5"/>
    <n v="0.05"/>
    <n v="13300"/>
    <s v="Faisalabad"/>
    <s v="Card"/>
  </r>
  <r>
    <n v="1273"/>
    <s v="2025-06-30"/>
    <s v="Sara"/>
    <x v="5"/>
    <x v="0"/>
    <n v="5000"/>
    <n v="5"/>
    <n v="0.2"/>
    <n v="20000"/>
    <s v="Karachi"/>
    <s v="COD"/>
  </r>
  <r>
    <n v="1274"/>
    <s v="2025-04-11"/>
    <s v="Noor"/>
    <x v="3"/>
    <x v="2"/>
    <n v="4500"/>
    <n v="5"/>
    <n v="0.05"/>
    <n v="21375"/>
    <s v="Faisalabad"/>
    <s v="Wallet"/>
  </r>
  <r>
    <n v="1275"/>
    <s v="2025-03-13"/>
    <s v="Ahmed"/>
    <x v="3"/>
    <x v="2"/>
    <n v="4500"/>
    <n v="5"/>
    <n v="0.15"/>
    <n v="19125"/>
    <s v="Multan"/>
    <s v="COD"/>
  </r>
  <r>
    <n v="1276"/>
    <s v="2025-01-29"/>
    <s v="Bilal"/>
    <x v="5"/>
    <x v="0"/>
    <n v="5000"/>
    <n v="1"/>
    <n v="0"/>
    <n v="5000"/>
    <s v="Karachi"/>
    <s v="COD"/>
  </r>
  <r>
    <n v="1277"/>
    <s v="2025-05-12"/>
    <s v="Ahmed"/>
    <x v="2"/>
    <x v="0"/>
    <n v="2200"/>
    <n v="3"/>
    <n v="0.1"/>
    <n v="5940"/>
    <s v="Lahore"/>
    <s v="Card"/>
  </r>
  <r>
    <n v="1278"/>
    <s v="2025-03-05"/>
    <s v="Noor"/>
    <x v="1"/>
    <x v="1"/>
    <n v="3500"/>
    <n v="5"/>
    <n v="0.1"/>
    <n v="15750"/>
    <s v="Multan"/>
    <s v="Wallet"/>
  </r>
  <r>
    <n v="1279"/>
    <s v="2025-03-07"/>
    <s v="Sara"/>
    <x v="5"/>
    <x v="0"/>
    <n v="5000"/>
    <n v="5"/>
    <n v="0"/>
    <n v="25000"/>
    <s v="Multan"/>
    <s v="Wallet"/>
  </r>
  <r>
    <n v="1280"/>
    <s v="2025-05-22"/>
    <s v="Bilal"/>
    <x v="4"/>
    <x v="0"/>
    <n v="2800"/>
    <n v="5"/>
    <n v="0.15"/>
    <n v="11900"/>
    <s v="Multan"/>
    <s v="Card"/>
  </r>
  <r>
    <n v="1281"/>
    <s v="2025-01-07"/>
    <s v="Ali"/>
    <x v="5"/>
    <x v="0"/>
    <n v="5000"/>
    <n v="1"/>
    <n v="0.1"/>
    <n v="4500"/>
    <s v="Karachi"/>
    <s v="Wallet"/>
  </r>
  <r>
    <n v="1282"/>
    <s v="2025-06-02"/>
    <s v="Hina"/>
    <x v="0"/>
    <x v="0"/>
    <n v="1200"/>
    <n v="3"/>
    <n v="0.1"/>
    <n v="3240"/>
    <s v="Multan"/>
    <s v="COD"/>
  </r>
  <r>
    <n v="1283"/>
    <s v="2025-04-05"/>
    <s v="Sara"/>
    <x v="3"/>
    <x v="2"/>
    <n v="4500"/>
    <n v="4"/>
    <n v="0.05"/>
    <n v="17100"/>
    <s v="Faisalabad"/>
    <s v="Wallet"/>
  </r>
  <r>
    <n v="1284"/>
    <s v="2025-01-18"/>
    <s v="Ali"/>
    <x v="4"/>
    <x v="0"/>
    <n v="2800"/>
    <n v="3"/>
    <n v="0"/>
    <n v="8400"/>
    <s v="Karachi"/>
    <s v="Wallet"/>
  </r>
  <r>
    <n v="1285"/>
    <s v="2025-04-10"/>
    <s v="Noor"/>
    <x v="4"/>
    <x v="0"/>
    <n v="2800"/>
    <n v="2"/>
    <n v="0.2"/>
    <n v="4480"/>
    <s v="Faisalabad"/>
    <s v="COD"/>
  </r>
  <r>
    <n v="1286"/>
    <s v="2025-05-25"/>
    <s v="Hina"/>
    <x v="1"/>
    <x v="1"/>
    <n v="3500"/>
    <n v="4"/>
    <n v="0"/>
    <n v="14000"/>
    <s v="Multan"/>
    <s v="Wallet"/>
  </r>
  <r>
    <n v="1287"/>
    <s v="2025-02-05"/>
    <s v="Sara"/>
    <x v="6"/>
    <x v="3"/>
    <n v="900"/>
    <n v="4"/>
    <n v="0.1"/>
    <n v="3240"/>
    <s v="Multan"/>
    <s v="Card"/>
  </r>
  <r>
    <n v="1288"/>
    <s v="2025-05-23"/>
    <s v="Hina"/>
    <x v="5"/>
    <x v="0"/>
    <n v="5000"/>
    <n v="5"/>
    <n v="0.1"/>
    <n v="22500"/>
    <s v="Multan"/>
    <s v="Wallet"/>
  </r>
  <r>
    <n v="1289"/>
    <s v="2025-04-23"/>
    <s v="Usman"/>
    <x v="1"/>
    <x v="1"/>
    <n v="3500"/>
    <n v="3"/>
    <n v="0.2"/>
    <n v="8400"/>
    <s v="Faisalabad"/>
    <s v="COD"/>
  </r>
  <r>
    <n v="1290"/>
    <s v="2025-01-29"/>
    <s v="Ahmed"/>
    <x v="1"/>
    <x v="1"/>
    <n v="3500"/>
    <n v="4"/>
    <n v="0.15"/>
    <n v="11900"/>
    <s v="Multan"/>
    <s v="COD"/>
  </r>
  <r>
    <n v="1291"/>
    <s v="2025-01-22"/>
    <s v="Bilal"/>
    <x v="3"/>
    <x v="2"/>
    <n v="4500"/>
    <n v="5"/>
    <n v="0.05"/>
    <n v="21375"/>
    <s v="Multan"/>
    <s v="COD"/>
  </r>
  <r>
    <n v="1292"/>
    <s v="2025-01-30"/>
    <s v="Usman"/>
    <x v="3"/>
    <x v="2"/>
    <n v="4500"/>
    <n v="2"/>
    <n v="0.2"/>
    <n v="7200"/>
    <s v="Faisalabad"/>
    <s v="COD"/>
  </r>
  <r>
    <n v="1293"/>
    <s v="2025-05-24"/>
    <s v="Noor"/>
    <x v="0"/>
    <x v="0"/>
    <n v="1200"/>
    <n v="2"/>
    <n v="0"/>
    <n v="2400"/>
    <s v="Faisalabad"/>
    <s v="Wallet"/>
  </r>
  <r>
    <n v="1294"/>
    <s v="2025-04-15"/>
    <s v="Ali"/>
    <x v="0"/>
    <x v="0"/>
    <n v="1200"/>
    <n v="3"/>
    <n v="0.2"/>
    <n v="2880"/>
    <s v="Karachi"/>
    <s v="Card"/>
  </r>
  <r>
    <n v="1295"/>
    <s v="2025-01-14"/>
    <s v="Zain"/>
    <x v="2"/>
    <x v="0"/>
    <n v="2200"/>
    <n v="2"/>
    <n v="0.1"/>
    <n v="3960"/>
    <s v="Lahore"/>
    <s v="Card"/>
  </r>
  <r>
    <n v="1296"/>
    <s v="2025-02-07"/>
    <s v="Noor"/>
    <x v="3"/>
    <x v="2"/>
    <n v="4500"/>
    <n v="5"/>
    <n v="0.15"/>
    <n v="19125"/>
    <s v="Faisalabad"/>
    <s v="COD"/>
  </r>
  <r>
    <n v="1297"/>
    <s v="2025-05-06"/>
    <s v="Hina"/>
    <x v="3"/>
    <x v="2"/>
    <n v="4500"/>
    <n v="2"/>
    <n v="0"/>
    <n v="9000"/>
    <s v="Faisalabad"/>
    <s v="Wallet"/>
  </r>
  <r>
    <n v="1298"/>
    <s v="2025-06-22"/>
    <s v="Noor"/>
    <x v="6"/>
    <x v="3"/>
    <n v="900"/>
    <n v="5"/>
    <n v="0.15"/>
    <n v="3825"/>
    <s v="Lahore"/>
    <s v="COD"/>
  </r>
  <r>
    <n v="1299"/>
    <s v="2025-04-21"/>
    <s v="Noor"/>
    <x v="6"/>
    <x v="3"/>
    <n v="900"/>
    <n v="1"/>
    <n v="0.05"/>
    <n v="855"/>
    <s v="Multan"/>
    <s v="COD"/>
  </r>
  <r>
    <n v="1300"/>
    <s v="2025-05-20"/>
    <s v="Ali"/>
    <x v="3"/>
    <x v="2"/>
    <n v="4500"/>
    <n v="5"/>
    <n v="0"/>
    <n v="22500"/>
    <s v="Islamabad"/>
    <s v="Card"/>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001"/>
    <s v="2025-06-07"/>
    <s v="Hina"/>
    <x v="0"/>
    <x v="0"/>
    <n v="1200"/>
    <n v="2"/>
    <n v="0.05"/>
    <n v="2280"/>
    <s v="Karachi"/>
    <s v="Wallet"/>
  </r>
  <r>
    <n v="1002"/>
    <s v="2025-02-05"/>
    <s v="Hina"/>
    <x v="0"/>
    <x v="0"/>
    <n v="1200"/>
    <n v="2"/>
    <n v="0.15"/>
    <n v="2040"/>
    <s v="Multan"/>
    <s v="Card"/>
  </r>
  <r>
    <n v="1003"/>
    <s v="2025-06-27"/>
    <s v="Hina"/>
    <x v="1"/>
    <x v="1"/>
    <n v="3500"/>
    <n v="4"/>
    <n v="0.1"/>
    <n v="12600"/>
    <s v="Multan"/>
    <s v="Wallet"/>
  </r>
  <r>
    <n v="1004"/>
    <s v="2025-05-14"/>
    <s v="Zain"/>
    <x v="2"/>
    <x v="0"/>
    <n v="2200"/>
    <n v="5"/>
    <n v="0.1"/>
    <n v="9900"/>
    <s v="Faisalabad"/>
    <s v="Card"/>
  </r>
  <r>
    <n v="1005"/>
    <s v="2025-03-04"/>
    <s v="Zain"/>
    <x v="3"/>
    <x v="2"/>
    <n v="4500"/>
    <n v="4"/>
    <n v="0.1"/>
    <n v="16200"/>
    <s v="Islamabad"/>
    <s v="Wallet"/>
  </r>
  <r>
    <n v="1006"/>
    <s v="2025-05-10"/>
    <s v="Sara"/>
    <x v="4"/>
    <x v="0"/>
    <n v="2800"/>
    <n v="3"/>
    <n v="0.05"/>
    <n v="7980"/>
    <s v="Islamabad"/>
    <s v="COD"/>
  </r>
  <r>
    <n v="1007"/>
    <s v="2025-03-11"/>
    <s v="Ayesha"/>
    <x v="5"/>
    <x v="0"/>
    <n v="5000"/>
    <n v="2"/>
    <n v="0.15"/>
    <n v="8500"/>
    <s v="Karachi"/>
    <s v="Card"/>
  </r>
  <r>
    <n v="1008"/>
    <s v="2025-03-08"/>
    <s v="Fatima"/>
    <x v="5"/>
    <x v="0"/>
    <n v="5000"/>
    <n v="2"/>
    <n v="0.1"/>
    <n v="9000"/>
    <s v="Islamabad"/>
    <s v="Wallet"/>
  </r>
  <r>
    <n v="1009"/>
    <s v="2025-03-23"/>
    <s v="Zain"/>
    <x v="5"/>
    <x v="0"/>
    <n v="5000"/>
    <n v="4"/>
    <n v="0"/>
    <n v="20000"/>
    <s v="Islamabad"/>
    <s v="COD"/>
  </r>
  <r>
    <n v="1010"/>
    <s v="2025-03-26"/>
    <s v="Usman"/>
    <x v="3"/>
    <x v="2"/>
    <n v="4500"/>
    <n v="3"/>
    <n v="0"/>
    <n v="13500"/>
    <s v="Islamabad"/>
    <s v="COD"/>
  </r>
  <r>
    <n v="1011"/>
    <s v="2025-04-08"/>
    <s v="Usman"/>
    <x v="1"/>
    <x v="1"/>
    <n v="3500"/>
    <n v="5"/>
    <n v="0.15"/>
    <n v="14875"/>
    <s v="Lahore"/>
    <s v="Wallet"/>
  </r>
  <r>
    <n v="1012"/>
    <s v="2025-06-14"/>
    <s v="Zain"/>
    <x v="4"/>
    <x v="0"/>
    <n v="2800"/>
    <n v="3"/>
    <n v="0.1"/>
    <n v="7560"/>
    <s v="Multan"/>
    <s v="COD"/>
  </r>
  <r>
    <n v="1013"/>
    <s v="2025-05-09"/>
    <s v="Noor"/>
    <x v="1"/>
    <x v="1"/>
    <n v="3500"/>
    <n v="3"/>
    <n v="0"/>
    <n v="10500"/>
    <s v="Multan"/>
    <s v="Wallet"/>
  </r>
  <r>
    <n v="1014"/>
    <s v="2025-02-17"/>
    <s v="Zain"/>
    <x v="1"/>
    <x v="1"/>
    <n v="3500"/>
    <n v="2"/>
    <n v="0.1"/>
    <n v="6300"/>
    <s v="Lahore"/>
    <s v="Wallet"/>
  </r>
  <r>
    <n v="1015"/>
    <s v="2025-04-19"/>
    <s v="Bilal"/>
    <x v="0"/>
    <x v="0"/>
    <n v="1200"/>
    <n v="1"/>
    <n v="0.15"/>
    <n v="1020"/>
    <s v="Faisalabad"/>
    <s v="Card"/>
  </r>
  <r>
    <n v="1016"/>
    <s v="2025-01-12"/>
    <s v="Hina"/>
    <x v="0"/>
    <x v="0"/>
    <n v="1200"/>
    <n v="4"/>
    <n v="0.2"/>
    <n v="3840"/>
    <s v="Karachi"/>
    <s v="COD"/>
  </r>
  <r>
    <n v="1017"/>
    <s v="2025-03-05"/>
    <s v="Ayesha"/>
    <x v="1"/>
    <x v="1"/>
    <n v="3500"/>
    <n v="2"/>
    <n v="0.05"/>
    <n v="6650"/>
    <s v="Islamabad"/>
    <s v="COD"/>
  </r>
  <r>
    <n v="1018"/>
    <s v="2025-01-20"/>
    <s v="Ahmed"/>
    <x v="6"/>
    <x v="3"/>
    <n v="900"/>
    <n v="3"/>
    <n v="0.2"/>
    <n v="2160"/>
    <s v="Karachi"/>
    <s v="Card"/>
  </r>
  <r>
    <n v="1019"/>
    <s v="2025-01-01"/>
    <s v="Usman"/>
    <x v="2"/>
    <x v="0"/>
    <n v="2200"/>
    <n v="4"/>
    <n v="0.15"/>
    <n v="7480"/>
    <s v="Multan"/>
    <s v="Wallet"/>
  </r>
  <r>
    <n v="1020"/>
    <s v="2025-05-03"/>
    <s v="Usman"/>
    <x v="1"/>
    <x v="1"/>
    <n v="3500"/>
    <n v="3"/>
    <n v="0.2"/>
    <n v="8400"/>
    <s v="Karachi"/>
    <s v="Wallet"/>
  </r>
  <r>
    <n v="1021"/>
    <s v="2025-03-12"/>
    <s v="Noor"/>
    <x v="3"/>
    <x v="2"/>
    <n v="4500"/>
    <n v="2"/>
    <n v="0"/>
    <n v="9000"/>
    <s v="Islamabad"/>
    <s v="Card"/>
  </r>
  <r>
    <n v="1022"/>
    <s v="2025-01-26"/>
    <s v="Ahmed"/>
    <x v="2"/>
    <x v="0"/>
    <n v="2200"/>
    <n v="3"/>
    <n v="0.05"/>
    <n v="6270"/>
    <s v="Karachi"/>
    <s v="Wallet"/>
  </r>
  <r>
    <n v="1023"/>
    <s v="2025-03-04"/>
    <s v="Ayesha"/>
    <x v="5"/>
    <x v="0"/>
    <n v="5000"/>
    <n v="1"/>
    <n v="0.05"/>
    <n v="4750"/>
    <s v="Lahore"/>
    <s v="Card"/>
  </r>
  <r>
    <n v="1024"/>
    <s v="2025-02-26"/>
    <s v="Ahmed"/>
    <x v="0"/>
    <x v="0"/>
    <n v="1200"/>
    <n v="4"/>
    <n v="0.15"/>
    <n v="4080"/>
    <s v="Faisalabad"/>
    <s v="Card"/>
  </r>
  <r>
    <n v="1025"/>
    <s v="2025-05-10"/>
    <s v="Sara"/>
    <x v="6"/>
    <x v="3"/>
    <n v="900"/>
    <n v="3"/>
    <n v="0.15"/>
    <n v="2295"/>
    <s v="Karachi"/>
    <s v="Card"/>
  </r>
  <r>
    <n v="1026"/>
    <s v="2025-05-11"/>
    <s v="Noor"/>
    <x v="1"/>
    <x v="1"/>
    <n v="3500"/>
    <n v="3"/>
    <n v="0.1"/>
    <n v="9450"/>
    <s v="Multan"/>
    <s v="Card"/>
  </r>
  <r>
    <n v="1027"/>
    <s v="2025-04-13"/>
    <s v="Usman"/>
    <x v="4"/>
    <x v="0"/>
    <n v="2800"/>
    <n v="5"/>
    <n v="0.15"/>
    <n v="11900"/>
    <s v="Lahore"/>
    <s v="Card"/>
  </r>
  <r>
    <n v="1028"/>
    <s v="2025-04-23"/>
    <s v="Sara"/>
    <x v="6"/>
    <x v="3"/>
    <n v="900"/>
    <n v="3"/>
    <n v="0"/>
    <n v="2700"/>
    <s v="Faisalabad"/>
    <s v="Card"/>
  </r>
  <r>
    <n v="1029"/>
    <s v="2025-03-27"/>
    <s v="Fatima"/>
    <x v="2"/>
    <x v="0"/>
    <n v="2200"/>
    <n v="1"/>
    <n v="0.05"/>
    <n v="2090"/>
    <s v="Multan"/>
    <s v="Card"/>
  </r>
  <r>
    <n v="1030"/>
    <s v="2025-03-05"/>
    <s v="Sara"/>
    <x v="6"/>
    <x v="3"/>
    <n v="900"/>
    <n v="5"/>
    <n v="0.05"/>
    <n v="4275"/>
    <s v="Karachi"/>
    <s v="COD"/>
  </r>
  <r>
    <n v="1031"/>
    <s v="2025-05-11"/>
    <s v="Usman"/>
    <x v="2"/>
    <x v="0"/>
    <n v="2200"/>
    <n v="3"/>
    <n v="0.2"/>
    <n v="5280"/>
    <s v="Islamabad"/>
    <s v="Card"/>
  </r>
  <r>
    <n v="1032"/>
    <s v="2025-01-20"/>
    <s v="Bilal"/>
    <x v="5"/>
    <x v="0"/>
    <n v="5000"/>
    <n v="3"/>
    <n v="0.15"/>
    <n v="12750"/>
    <s v="Karachi"/>
    <s v="Wallet"/>
  </r>
  <r>
    <n v="1033"/>
    <s v="2025-04-11"/>
    <s v="Ali"/>
    <x v="2"/>
    <x v="0"/>
    <n v="2200"/>
    <n v="1"/>
    <n v="0"/>
    <n v="2200"/>
    <s v="Karachi"/>
    <s v="Card"/>
  </r>
  <r>
    <n v="1034"/>
    <s v="2025-02-18"/>
    <s v="Bilal"/>
    <x v="3"/>
    <x v="2"/>
    <n v="4500"/>
    <n v="2"/>
    <n v="0.2"/>
    <n v="7200"/>
    <s v="Multan"/>
    <s v="Wallet"/>
  </r>
  <r>
    <n v="1035"/>
    <s v="2025-05-02"/>
    <s v="Usman"/>
    <x v="2"/>
    <x v="0"/>
    <n v="2200"/>
    <n v="1"/>
    <n v="0.1"/>
    <n v="1980"/>
    <s v="Islamabad"/>
    <s v="Card"/>
  </r>
  <r>
    <n v="1036"/>
    <s v="2025-06-23"/>
    <s v="Zain"/>
    <x v="5"/>
    <x v="0"/>
    <n v="5000"/>
    <n v="1"/>
    <n v="0.05"/>
    <n v="4750"/>
    <s v="Islamabad"/>
    <s v="Card"/>
  </r>
  <r>
    <n v="1037"/>
    <s v="2025-04-28"/>
    <s v="Sara"/>
    <x v="6"/>
    <x v="3"/>
    <n v="900"/>
    <n v="3"/>
    <n v="0.1"/>
    <n v="2430"/>
    <s v="Karachi"/>
    <s v="COD"/>
  </r>
  <r>
    <n v="1038"/>
    <s v="2025-04-18"/>
    <s v="Bilal"/>
    <x v="0"/>
    <x v="0"/>
    <n v="1200"/>
    <n v="5"/>
    <n v="0.05"/>
    <n v="5700"/>
    <s v="Islamabad"/>
    <s v="Wallet"/>
  </r>
  <r>
    <n v="1039"/>
    <s v="2025-05-05"/>
    <s v="Bilal"/>
    <x v="4"/>
    <x v="0"/>
    <n v="2800"/>
    <n v="3"/>
    <n v="0.2"/>
    <n v="6720"/>
    <s v="Karachi"/>
    <s v="Wallet"/>
  </r>
  <r>
    <n v="1040"/>
    <s v="2025-05-30"/>
    <s v="Fatima"/>
    <x v="0"/>
    <x v="0"/>
    <n v="1200"/>
    <n v="5"/>
    <n v="0.15"/>
    <n v="5100"/>
    <s v="Multan"/>
    <s v="COD"/>
  </r>
  <r>
    <n v="1041"/>
    <s v="2025-02-15"/>
    <s v="Zain"/>
    <x v="0"/>
    <x v="0"/>
    <n v="1200"/>
    <n v="2"/>
    <n v="0.05"/>
    <n v="2280"/>
    <s v="Lahore"/>
    <s v="Card"/>
  </r>
  <r>
    <n v="1042"/>
    <s v="2025-03-10"/>
    <s v="Fatima"/>
    <x v="1"/>
    <x v="1"/>
    <n v="3500"/>
    <n v="4"/>
    <n v="0.15"/>
    <n v="11900"/>
    <s v="Lahore"/>
    <s v="COD"/>
  </r>
  <r>
    <n v="1043"/>
    <s v="2025-05-19"/>
    <s v="Ahmed"/>
    <x v="6"/>
    <x v="3"/>
    <n v="900"/>
    <n v="1"/>
    <n v="0.05"/>
    <n v="855"/>
    <s v="Faisalabad"/>
    <s v="COD"/>
  </r>
  <r>
    <n v="1044"/>
    <s v="2025-06-13"/>
    <s v="Usman"/>
    <x v="2"/>
    <x v="0"/>
    <n v="2200"/>
    <n v="3"/>
    <n v="0.2"/>
    <n v="5280"/>
    <s v="Lahore"/>
    <s v="Card"/>
  </r>
  <r>
    <n v="1045"/>
    <s v="2025-06-24"/>
    <s v="Zain"/>
    <x v="5"/>
    <x v="0"/>
    <n v="5000"/>
    <n v="2"/>
    <n v="0.2"/>
    <n v="8000"/>
    <s v="Islamabad"/>
    <s v="Card"/>
  </r>
  <r>
    <n v="1046"/>
    <s v="2025-03-20"/>
    <s v="Ali"/>
    <x v="5"/>
    <x v="0"/>
    <n v="5000"/>
    <n v="3"/>
    <n v="0.05"/>
    <n v="14250"/>
    <s v="Islamabad"/>
    <s v="COD"/>
  </r>
  <r>
    <n v="1047"/>
    <s v="2025-05-22"/>
    <s v="Noor"/>
    <x v="6"/>
    <x v="3"/>
    <n v="900"/>
    <n v="5"/>
    <n v="0.2"/>
    <n v="3600"/>
    <s v="Faisalabad"/>
    <s v="COD"/>
  </r>
  <r>
    <n v="1048"/>
    <s v="2025-03-26"/>
    <s v="Hina"/>
    <x v="0"/>
    <x v="0"/>
    <n v="1200"/>
    <n v="3"/>
    <n v="0.1"/>
    <n v="3240"/>
    <s v="Karachi"/>
    <s v="COD"/>
  </r>
  <r>
    <n v="1049"/>
    <s v="2025-06-08"/>
    <s v="Sara"/>
    <x v="0"/>
    <x v="0"/>
    <n v="1200"/>
    <n v="1"/>
    <n v="0.05"/>
    <n v="1140"/>
    <s v="Faisalabad"/>
    <s v="Wallet"/>
  </r>
  <r>
    <n v="1050"/>
    <s v="2025-03-18"/>
    <s v="Ayesha"/>
    <x v="4"/>
    <x v="0"/>
    <n v="2800"/>
    <n v="5"/>
    <n v="0.05"/>
    <n v="13300"/>
    <s v="Islamabad"/>
    <s v="COD"/>
  </r>
  <r>
    <n v="1051"/>
    <s v="2025-02-23"/>
    <s v="Bilal"/>
    <x v="5"/>
    <x v="0"/>
    <n v="5000"/>
    <n v="4"/>
    <n v="0.1"/>
    <n v="18000"/>
    <s v="Lahore"/>
    <s v="COD"/>
  </r>
  <r>
    <n v="1052"/>
    <s v="2025-03-21"/>
    <s v="Noor"/>
    <x v="1"/>
    <x v="1"/>
    <n v="3500"/>
    <n v="5"/>
    <n v="0.05"/>
    <n v="16625"/>
    <s v="Faisalabad"/>
    <s v="COD"/>
  </r>
  <r>
    <n v="1053"/>
    <s v="2025-06-02"/>
    <s v="Zain"/>
    <x v="3"/>
    <x v="2"/>
    <n v="4500"/>
    <n v="5"/>
    <n v="0.15"/>
    <n v="19125"/>
    <s v="Karachi"/>
    <s v="Card"/>
  </r>
  <r>
    <n v="1054"/>
    <s v="2025-05-11"/>
    <s v="Hina"/>
    <x v="2"/>
    <x v="0"/>
    <n v="2200"/>
    <n v="1"/>
    <n v="0.15"/>
    <n v="1870"/>
    <s v="Multan"/>
    <s v="Wallet"/>
  </r>
  <r>
    <n v="1055"/>
    <s v="2025-01-27"/>
    <s v="Hina"/>
    <x v="5"/>
    <x v="0"/>
    <n v="5000"/>
    <n v="5"/>
    <n v="0"/>
    <n v="25000"/>
    <s v="Multan"/>
    <s v="Wallet"/>
  </r>
  <r>
    <n v="1056"/>
    <s v="2025-01-20"/>
    <s v="Bilal"/>
    <x v="5"/>
    <x v="0"/>
    <n v="5000"/>
    <n v="5"/>
    <n v="0.1"/>
    <n v="22500"/>
    <s v="Karachi"/>
    <s v="Wallet"/>
  </r>
  <r>
    <n v="1057"/>
    <s v="2025-02-01"/>
    <s v="Noor"/>
    <x v="1"/>
    <x v="1"/>
    <n v="3500"/>
    <n v="3"/>
    <n v="0"/>
    <n v="10500"/>
    <s v="Faisalabad"/>
    <s v="Card"/>
  </r>
  <r>
    <n v="1058"/>
    <s v="2025-04-22"/>
    <s v="Bilal"/>
    <x v="6"/>
    <x v="3"/>
    <n v="900"/>
    <n v="3"/>
    <n v="0.05"/>
    <n v="2565"/>
    <s v="Lahore"/>
    <s v="Card"/>
  </r>
  <r>
    <n v="1059"/>
    <s v="2025-05-20"/>
    <s v="Noor"/>
    <x v="1"/>
    <x v="1"/>
    <n v="3500"/>
    <n v="2"/>
    <n v="0.2"/>
    <n v="5600"/>
    <s v="Karachi"/>
    <s v="Card"/>
  </r>
  <r>
    <n v="1060"/>
    <s v="2025-02-03"/>
    <s v="Zain"/>
    <x v="6"/>
    <x v="3"/>
    <n v="900"/>
    <n v="1"/>
    <n v="0.05"/>
    <n v="855"/>
    <s v="Islamabad"/>
    <s v="Wallet"/>
  </r>
  <r>
    <n v="1061"/>
    <s v="2025-05-30"/>
    <s v="Noor"/>
    <x v="4"/>
    <x v="0"/>
    <n v="2800"/>
    <n v="4"/>
    <n v="0.05"/>
    <n v="10640"/>
    <s v="Faisalabad"/>
    <s v="Wallet"/>
  </r>
  <r>
    <n v="1062"/>
    <s v="2025-03-05"/>
    <s v="Sara"/>
    <x v="0"/>
    <x v="0"/>
    <n v="1200"/>
    <n v="2"/>
    <n v="0.2"/>
    <n v="1920"/>
    <s v="Multan"/>
    <s v="Wallet"/>
  </r>
  <r>
    <n v="1063"/>
    <s v="2025-05-20"/>
    <s v="Ahmed"/>
    <x v="0"/>
    <x v="0"/>
    <n v="1200"/>
    <n v="4"/>
    <n v="0.05"/>
    <n v="4560"/>
    <s v="Lahore"/>
    <s v="Wallet"/>
  </r>
  <r>
    <n v="1064"/>
    <s v="2025-06-13"/>
    <s v="Bilal"/>
    <x v="2"/>
    <x v="0"/>
    <n v="2200"/>
    <n v="4"/>
    <n v="0"/>
    <n v="8800"/>
    <s v="Faisalabad"/>
    <s v="Card"/>
  </r>
  <r>
    <n v="1065"/>
    <s v="2025-06-21"/>
    <s v="Zain"/>
    <x v="2"/>
    <x v="0"/>
    <n v="2200"/>
    <n v="5"/>
    <n v="0.2"/>
    <n v="8800"/>
    <s v="Karachi"/>
    <s v="Wallet"/>
  </r>
  <r>
    <n v="1066"/>
    <s v="2025-03-15"/>
    <s v="Ali"/>
    <x v="3"/>
    <x v="2"/>
    <n v="4500"/>
    <n v="3"/>
    <n v="0.05"/>
    <n v="12825"/>
    <s v="Multan"/>
    <s v="COD"/>
  </r>
  <r>
    <n v="1067"/>
    <s v="2025-02-20"/>
    <s v="Bilal"/>
    <x v="4"/>
    <x v="0"/>
    <n v="2800"/>
    <n v="3"/>
    <n v="0.15"/>
    <n v="7140"/>
    <s v="Lahore"/>
    <s v="Wallet"/>
  </r>
  <r>
    <n v="1068"/>
    <s v="2025-05-16"/>
    <s v="Ayesha"/>
    <x v="0"/>
    <x v="0"/>
    <n v="1200"/>
    <n v="3"/>
    <n v="0"/>
    <n v="3600"/>
    <s v="Multan"/>
    <s v="Card"/>
  </r>
  <r>
    <n v="1069"/>
    <s v="2025-03-09"/>
    <s v="Bilal"/>
    <x v="6"/>
    <x v="3"/>
    <n v="900"/>
    <n v="3"/>
    <n v="0.15"/>
    <n v="2295"/>
    <s v="Lahore"/>
    <s v="Wallet"/>
  </r>
  <r>
    <n v="1070"/>
    <s v="2025-06-10"/>
    <s v="Noor"/>
    <x v="1"/>
    <x v="1"/>
    <n v="3500"/>
    <n v="3"/>
    <n v="0.15"/>
    <n v="8925"/>
    <s v="Multan"/>
    <s v="Wallet"/>
  </r>
  <r>
    <n v="1071"/>
    <s v="2025-03-26"/>
    <s v="Fatima"/>
    <x v="0"/>
    <x v="0"/>
    <n v="1200"/>
    <n v="3"/>
    <n v="0.15"/>
    <n v="3060"/>
    <s v="Faisalabad"/>
    <s v="Wallet"/>
  </r>
  <r>
    <n v="1072"/>
    <s v="2025-04-18"/>
    <s v="Bilal"/>
    <x v="1"/>
    <x v="1"/>
    <n v="3500"/>
    <n v="2"/>
    <n v="0.15"/>
    <n v="5950"/>
    <s v="Faisalabad"/>
    <s v="COD"/>
  </r>
  <r>
    <n v="1073"/>
    <s v="2025-06-06"/>
    <s v="Ali"/>
    <x v="2"/>
    <x v="0"/>
    <n v="2200"/>
    <n v="2"/>
    <n v="0"/>
    <n v="4400"/>
    <s v="Karachi"/>
    <s v="Card"/>
  </r>
  <r>
    <n v="1074"/>
    <s v="2025-04-07"/>
    <s v="Hina"/>
    <x v="1"/>
    <x v="1"/>
    <n v="3500"/>
    <n v="5"/>
    <n v="0.1"/>
    <n v="15750"/>
    <s v="Faisalabad"/>
    <s v="Card"/>
  </r>
  <r>
    <n v="1075"/>
    <s v="2025-02-17"/>
    <s v="Usman"/>
    <x v="2"/>
    <x v="0"/>
    <n v="2200"/>
    <n v="2"/>
    <n v="0"/>
    <n v="4400"/>
    <s v="Karachi"/>
    <s v="Card"/>
  </r>
  <r>
    <n v="1076"/>
    <s v="2025-03-10"/>
    <s v="Ahmed"/>
    <x v="5"/>
    <x v="0"/>
    <n v="5000"/>
    <n v="4"/>
    <n v="0.15"/>
    <n v="17000"/>
    <s v="Lahore"/>
    <s v="Card"/>
  </r>
  <r>
    <n v="1077"/>
    <s v="2025-04-11"/>
    <s v="Bilal"/>
    <x v="0"/>
    <x v="0"/>
    <n v="1200"/>
    <n v="5"/>
    <n v="0.05"/>
    <n v="5700"/>
    <s v="Islamabad"/>
    <s v="Wallet"/>
  </r>
  <r>
    <n v="1078"/>
    <s v="2025-05-10"/>
    <s v="Noor"/>
    <x v="3"/>
    <x v="2"/>
    <n v="4500"/>
    <n v="2"/>
    <n v="0.15"/>
    <n v="7650"/>
    <s v="Multan"/>
    <s v="Wallet"/>
  </r>
  <r>
    <n v="1079"/>
    <s v="2025-05-23"/>
    <s v="Hina"/>
    <x v="1"/>
    <x v="1"/>
    <n v="3500"/>
    <n v="1"/>
    <n v="0.1"/>
    <n v="3150"/>
    <s v="Lahore"/>
    <s v="COD"/>
  </r>
  <r>
    <n v="1080"/>
    <s v="2025-02-16"/>
    <s v="Bilal"/>
    <x v="3"/>
    <x v="2"/>
    <n v="4500"/>
    <n v="1"/>
    <n v="0"/>
    <n v="4500"/>
    <s v="Lahore"/>
    <s v="Wallet"/>
  </r>
  <r>
    <n v="1081"/>
    <s v="2025-02-26"/>
    <s v="Hina"/>
    <x v="0"/>
    <x v="0"/>
    <n v="1200"/>
    <n v="2"/>
    <n v="0.1"/>
    <n v="2160"/>
    <s v="Karachi"/>
    <s v="Card"/>
  </r>
  <r>
    <n v="1082"/>
    <s v="2025-06-11"/>
    <s v="Hina"/>
    <x v="2"/>
    <x v="0"/>
    <n v="2200"/>
    <n v="3"/>
    <n v="0.15"/>
    <n v="5610"/>
    <s v="Lahore"/>
    <s v="COD"/>
  </r>
  <r>
    <n v="1083"/>
    <s v="2025-03-06"/>
    <s v="Bilal"/>
    <x v="3"/>
    <x v="2"/>
    <n v="4500"/>
    <n v="3"/>
    <n v="0.1"/>
    <n v="12150"/>
    <s v="Islamabad"/>
    <s v="Card"/>
  </r>
  <r>
    <n v="1084"/>
    <s v="2025-05-03"/>
    <s v="Fatima"/>
    <x v="4"/>
    <x v="0"/>
    <n v="2800"/>
    <n v="5"/>
    <n v="0.1"/>
    <n v="12600"/>
    <s v="Islamabad"/>
    <s v="Card"/>
  </r>
  <r>
    <n v="1085"/>
    <s v="2025-05-29"/>
    <s v="Noor"/>
    <x v="1"/>
    <x v="1"/>
    <n v="3500"/>
    <n v="5"/>
    <n v="0.1"/>
    <n v="15750"/>
    <s v="Faisalabad"/>
    <s v="COD"/>
  </r>
  <r>
    <n v="1086"/>
    <s v="2025-01-17"/>
    <s v="Zain"/>
    <x v="0"/>
    <x v="0"/>
    <n v="1200"/>
    <n v="2"/>
    <n v="0.2"/>
    <n v="1920"/>
    <s v="Karachi"/>
    <s v="Card"/>
  </r>
  <r>
    <n v="1087"/>
    <s v="2025-06-24"/>
    <s v="Ahmed"/>
    <x v="6"/>
    <x v="3"/>
    <n v="900"/>
    <n v="1"/>
    <n v="0.05"/>
    <n v="855"/>
    <s v="Karachi"/>
    <s v="Wallet"/>
  </r>
  <r>
    <n v="1088"/>
    <s v="2025-06-15"/>
    <s v="Noor"/>
    <x v="6"/>
    <x v="3"/>
    <n v="900"/>
    <n v="3"/>
    <n v="0.15"/>
    <n v="2295"/>
    <s v="Karachi"/>
    <s v="Card"/>
  </r>
  <r>
    <n v="1089"/>
    <s v="2025-06-08"/>
    <s v="Usman"/>
    <x v="0"/>
    <x v="0"/>
    <n v="1200"/>
    <n v="1"/>
    <n v="0"/>
    <n v="1200"/>
    <s v="Karachi"/>
    <s v="Card"/>
  </r>
  <r>
    <n v="1090"/>
    <s v="2025-04-22"/>
    <s v="Ahmed"/>
    <x v="5"/>
    <x v="0"/>
    <n v="5000"/>
    <n v="4"/>
    <n v="0.05"/>
    <n v="19000"/>
    <s v="Multan"/>
    <s v="Card"/>
  </r>
  <r>
    <n v="1091"/>
    <s v="2025-05-01"/>
    <s v="Hina"/>
    <x v="5"/>
    <x v="0"/>
    <n v="5000"/>
    <n v="1"/>
    <n v="0.1"/>
    <n v="4500"/>
    <s v="Faisalabad"/>
    <s v="Card"/>
  </r>
  <r>
    <n v="1092"/>
    <s v="2025-06-14"/>
    <s v="Sara"/>
    <x v="6"/>
    <x v="3"/>
    <n v="900"/>
    <n v="3"/>
    <n v="0.1"/>
    <n v="2430"/>
    <s v="Islamabad"/>
    <s v="Wallet"/>
  </r>
  <r>
    <n v="1093"/>
    <s v="2025-04-22"/>
    <s v="Ayesha"/>
    <x v="3"/>
    <x v="2"/>
    <n v="4500"/>
    <n v="4"/>
    <n v="0.2"/>
    <n v="14400"/>
    <s v="Multan"/>
    <s v="Wallet"/>
  </r>
  <r>
    <n v="1094"/>
    <s v="2025-02-06"/>
    <s v="Usman"/>
    <x v="3"/>
    <x v="2"/>
    <n v="4500"/>
    <n v="3"/>
    <n v="0.05"/>
    <n v="12825"/>
    <s v="Multan"/>
    <s v="Wallet"/>
  </r>
  <r>
    <n v="1095"/>
    <s v="2025-04-08"/>
    <s v="Bilal"/>
    <x v="2"/>
    <x v="0"/>
    <n v="2200"/>
    <n v="4"/>
    <n v="0.05"/>
    <n v="8360"/>
    <s v="Karachi"/>
    <s v="Card"/>
  </r>
  <r>
    <n v="1096"/>
    <s v="2025-06-15"/>
    <s v="Noor"/>
    <x v="0"/>
    <x v="0"/>
    <n v="1200"/>
    <n v="5"/>
    <n v="0.05"/>
    <n v="5700"/>
    <s v="Islamabad"/>
    <s v="Card"/>
  </r>
  <r>
    <n v="1097"/>
    <s v="2025-03-02"/>
    <s v="Fatima"/>
    <x v="0"/>
    <x v="0"/>
    <n v="1200"/>
    <n v="2"/>
    <n v="0"/>
    <n v="2400"/>
    <s v="Multan"/>
    <s v="Card"/>
  </r>
  <r>
    <n v="1098"/>
    <s v="2025-06-01"/>
    <s v="Noor"/>
    <x v="3"/>
    <x v="2"/>
    <n v="4500"/>
    <n v="3"/>
    <n v="0.05"/>
    <n v="12825"/>
    <s v="Faisalabad"/>
    <s v="COD"/>
  </r>
  <r>
    <n v="1099"/>
    <s v="2025-03-23"/>
    <s v="Zain"/>
    <x v="2"/>
    <x v="0"/>
    <n v="2200"/>
    <n v="5"/>
    <n v="0.2"/>
    <n v="8800"/>
    <s v="Multan"/>
    <s v="Wallet"/>
  </r>
  <r>
    <n v="1100"/>
    <s v="2025-02-05"/>
    <s v="Noor"/>
    <x v="6"/>
    <x v="3"/>
    <n v="900"/>
    <n v="4"/>
    <n v="0.2"/>
    <n v="2880"/>
    <s v="Islamabad"/>
    <s v="Card"/>
  </r>
  <r>
    <n v="1101"/>
    <s v="2025-04-21"/>
    <s v="Ali"/>
    <x v="3"/>
    <x v="2"/>
    <n v="4500"/>
    <n v="1"/>
    <n v="0.1"/>
    <n v="4050"/>
    <s v="Multan"/>
    <s v="COD"/>
  </r>
  <r>
    <n v="1102"/>
    <s v="2025-04-01"/>
    <s v="Noor"/>
    <x v="6"/>
    <x v="3"/>
    <n v="900"/>
    <n v="3"/>
    <n v="0.05"/>
    <n v="2565"/>
    <s v="Islamabad"/>
    <s v="Card"/>
  </r>
  <r>
    <n v="1103"/>
    <s v="2025-06-17"/>
    <s v="Fatima"/>
    <x v="3"/>
    <x v="2"/>
    <n v="4500"/>
    <n v="3"/>
    <n v="0.1"/>
    <n v="12150"/>
    <s v="Karachi"/>
    <s v="Card"/>
  </r>
  <r>
    <n v="1104"/>
    <s v="2025-06-18"/>
    <s v="Ali"/>
    <x v="6"/>
    <x v="3"/>
    <n v="900"/>
    <n v="4"/>
    <n v="0.05"/>
    <n v="3420"/>
    <s v="Lahore"/>
    <s v="Wallet"/>
  </r>
  <r>
    <n v="1105"/>
    <s v="2025-06-12"/>
    <s v="Hina"/>
    <x v="2"/>
    <x v="0"/>
    <n v="2200"/>
    <n v="5"/>
    <n v="0"/>
    <n v="11000"/>
    <s v="Islamabad"/>
    <s v="COD"/>
  </r>
  <r>
    <n v="1106"/>
    <s v="2025-05-11"/>
    <s v="Bilal"/>
    <x v="2"/>
    <x v="0"/>
    <n v="2200"/>
    <n v="2"/>
    <n v="0.05"/>
    <n v="4180"/>
    <s v="Faisalabad"/>
    <s v="COD"/>
  </r>
  <r>
    <n v="1107"/>
    <s v="2025-02-24"/>
    <s v="Ali"/>
    <x v="6"/>
    <x v="3"/>
    <n v="900"/>
    <n v="1"/>
    <n v="0.1"/>
    <n v="810"/>
    <s v="Lahore"/>
    <s v="COD"/>
  </r>
  <r>
    <n v="1108"/>
    <s v="2025-03-02"/>
    <s v="Ayesha"/>
    <x v="2"/>
    <x v="0"/>
    <n v="2200"/>
    <n v="4"/>
    <n v="0.2"/>
    <n v="7040"/>
    <s v="Islamabad"/>
    <s v="COD"/>
  </r>
  <r>
    <n v="1109"/>
    <s v="2025-06-01"/>
    <s v="Ahmed"/>
    <x v="4"/>
    <x v="0"/>
    <n v="2800"/>
    <n v="3"/>
    <n v="0.15"/>
    <n v="7140"/>
    <s v="Islamabad"/>
    <s v="COD"/>
  </r>
  <r>
    <n v="1110"/>
    <s v="2025-01-29"/>
    <s v="Ayesha"/>
    <x v="2"/>
    <x v="0"/>
    <n v="2200"/>
    <n v="3"/>
    <n v="0"/>
    <n v="6600"/>
    <s v="Lahore"/>
    <s v="Wallet"/>
  </r>
  <r>
    <n v="1111"/>
    <s v="2025-01-25"/>
    <s v="Zain"/>
    <x v="0"/>
    <x v="0"/>
    <n v="1200"/>
    <n v="1"/>
    <n v="0.2"/>
    <n v="960"/>
    <s v="Islamabad"/>
    <s v="Wallet"/>
  </r>
  <r>
    <n v="1112"/>
    <s v="2025-01-27"/>
    <s v="Zain"/>
    <x v="5"/>
    <x v="0"/>
    <n v="5000"/>
    <n v="1"/>
    <n v="0.05"/>
    <n v="4750"/>
    <s v="Faisalabad"/>
    <s v="COD"/>
  </r>
  <r>
    <n v="1113"/>
    <s v="2025-05-16"/>
    <s v="Ali"/>
    <x v="0"/>
    <x v="0"/>
    <n v="1200"/>
    <n v="5"/>
    <n v="0.15"/>
    <n v="5100"/>
    <s v="Faisalabad"/>
    <s v="COD"/>
  </r>
  <r>
    <n v="1114"/>
    <s v="2025-02-21"/>
    <s v="Hina"/>
    <x v="1"/>
    <x v="1"/>
    <n v="3500"/>
    <n v="5"/>
    <n v="0"/>
    <n v="17500"/>
    <s v="Karachi"/>
    <s v="COD"/>
  </r>
  <r>
    <n v="1115"/>
    <s v="2025-01-27"/>
    <s v="Ali"/>
    <x v="0"/>
    <x v="0"/>
    <n v="1200"/>
    <n v="5"/>
    <n v="0"/>
    <n v="6000"/>
    <s v="Faisalabad"/>
    <s v="Wallet"/>
  </r>
  <r>
    <n v="1116"/>
    <s v="2025-02-28"/>
    <s v="Sara"/>
    <x v="2"/>
    <x v="0"/>
    <n v="2200"/>
    <n v="3"/>
    <n v="0.2"/>
    <n v="5280"/>
    <s v="Islamabad"/>
    <s v="Card"/>
  </r>
  <r>
    <n v="1117"/>
    <s v="2025-06-04"/>
    <s v="Ahmed"/>
    <x v="0"/>
    <x v="0"/>
    <n v="1200"/>
    <n v="2"/>
    <n v="0.05"/>
    <n v="2280"/>
    <s v="Karachi"/>
    <s v="COD"/>
  </r>
  <r>
    <n v="1118"/>
    <s v="2025-06-25"/>
    <s v="Noor"/>
    <x v="1"/>
    <x v="1"/>
    <n v="3500"/>
    <n v="1"/>
    <n v="0.2"/>
    <n v="2800"/>
    <s v="Islamabad"/>
    <s v="Wallet"/>
  </r>
  <r>
    <n v="1119"/>
    <s v="2025-01-05"/>
    <s v="Ali"/>
    <x v="3"/>
    <x v="2"/>
    <n v="4500"/>
    <n v="2"/>
    <n v="0"/>
    <n v="9000"/>
    <s v="Multan"/>
    <s v="Card"/>
  </r>
  <r>
    <n v="1120"/>
    <s v="2025-01-05"/>
    <s v="Fatima"/>
    <x v="0"/>
    <x v="0"/>
    <n v="1200"/>
    <n v="1"/>
    <n v="0.05"/>
    <n v="1140"/>
    <s v="Lahore"/>
    <s v="COD"/>
  </r>
  <r>
    <n v="1121"/>
    <s v="2025-05-14"/>
    <s v="Fatima"/>
    <x v="0"/>
    <x v="0"/>
    <n v="1200"/>
    <n v="2"/>
    <n v="0.1"/>
    <n v="2160"/>
    <s v="Islamabad"/>
    <s v="Card"/>
  </r>
  <r>
    <n v="1122"/>
    <s v="2025-04-27"/>
    <s v="Sara"/>
    <x v="3"/>
    <x v="2"/>
    <n v="4500"/>
    <n v="1"/>
    <n v="0.15"/>
    <n v="3825"/>
    <s v="Faisalabad"/>
    <s v="Card"/>
  </r>
  <r>
    <n v="1123"/>
    <s v="2025-03-31"/>
    <s v="Hina"/>
    <x v="5"/>
    <x v="0"/>
    <n v="5000"/>
    <n v="5"/>
    <n v="0.1"/>
    <n v="22500"/>
    <s v="Faisalabad"/>
    <s v="Wallet"/>
  </r>
  <r>
    <n v="1124"/>
    <s v="2025-02-16"/>
    <s v="Usman"/>
    <x v="3"/>
    <x v="2"/>
    <n v="4500"/>
    <n v="2"/>
    <n v="0"/>
    <n v="9000"/>
    <s v="Faisalabad"/>
    <s v="Card"/>
  </r>
  <r>
    <n v="1125"/>
    <s v="2025-01-26"/>
    <s v="Usman"/>
    <x v="2"/>
    <x v="0"/>
    <n v="2200"/>
    <n v="3"/>
    <n v="0.15"/>
    <n v="5610"/>
    <s v="Lahore"/>
    <s v="Card"/>
  </r>
  <r>
    <n v="1126"/>
    <s v="2025-01-02"/>
    <s v="Noor"/>
    <x v="2"/>
    <x v="0"/>
    <n v="2200"/>
    <n v="4"/>
    <n v="0.15"/>
    <n v="7480"/>
    <s v="Faisalabad"/>
    <s v="COD"/>
  </r>
  <r>
    <n v="1127"/>
    <s v="2025-06-27"/>
    <s v="Ali"/>
    <x v="0"/>
    <x v="0"/>
    <n v="1200"/>
    <n v="3"/>
    <n v="0.2"/>
    <n v="2880"/>
    <s v="Multan"/>
    <s v="Wallet"/>
  </r>
  <r>
    <n v="1128"/>
    <s v="2025-04-14"/>
    <s v="Bilal"/>
    <x v="0"/>
    <x v="0"/>
    <n v="1200"/>
    <n v="2"/>
    <n v="0.15"/>
    <n v="2040"/>
    <s v="Islamabad"/>
    <s v="Card"/>
  </r>
  <r>
    <n v="1129"/>
    <s v="2025-04-17"/>
    <s v="Hina"/>
    <x v="4"/>
    <x v="0"/>
    <n v="2800"/>
    <n v="2"/>
    <n v="0.05"/>
    <n v="5320"/>
    <s v="Multan"/>
    <s v="COD"/>
  </r>
  <r>
    <n v="1130"/>
    <s v="2025-05-20"/>
    <s v="Usman"/>
    <x v="0"/>
    <x v="0"/>
    <n v="1200"/>
    <n v="1"/>
    <n v="0.2"/>
    <n v="960"/>
    <s v="Karachi"/>
    <s v="COD"/>
  </r>
  <r>
    <n v="1131"/>
    <s v="2025-02-22"/>
    <s v="Usman"/>
    <x v="4"/>
    <x v="0"/>
    <n v="2800"/>
    <n v="4"/>
    <n v="0.15"/>
    <n v="9520"/>
    <s v="Lahore"/>
    <s v="COD"/>
  </r>
  <r>
    <n v="1132"/>
    <s v="2025-06-14"/>
    <s v="Hina"/>
    <x v="0"/>
    <x v="0"/>
    <n v="1200"/>
    <n v="5"/>
    <n v="0.05"/>
    <n v="5700"/>
    <s v="Lahore"/>
    <s v="Wallet"/>
  </r>
  <r>
    <n v="1133"/>
    <s v="2025-06-23"/>
    <s v="Noor"/>
    <x v="2"/>
    <x v="0"/>
    <n v="2200"/>
    <n v="2"/>
    <n v="0.2"/>
    <n v="3520"/>
    <s v="Multan"/>
    <s v="Wallet"/>
  </r>
  <r>
    <n v="1134"/>
    <s v="2025-05-18"/>
    <s v="Ayesha"/>
    <x v="0"/>
    <x v="0"/>
    <n v="1200"/>
    <n v="2"/>
    <n v="0.2"/>
    <n v="1920"/>
    <s v="Islamabad"/>
    <s v="Wallet"/>
  </r>
  <r>
    <n v="1135"/>
    <s v="2025-06-17"/>
    <s v="Sara"/>
    <x v="0"/>
    <x v="0"/>
    <n v="1200"/>
    <n v="2"/>
    <n v="0.15"/>
    <n v="2040"/>
    <s v="Faisalabad"/>
    <s v="Card"/>
  </r>
  <r>
    <n v="1136"/>
    <s v="2025-04-21"/>
    <s v="Noor"/>
    <x v="2"/>
    <x v="0"/>
    <n v="2200"/>
    <n v="1"/>
    <n v="0.15"/>
    <n v="1870"/>
    <s v="Lahore"/>
    <s v="Card"/>
  </r>
  <r>
    <n v="1137"/>
    <s v="2025-03-26"/>
    <s v="Ali"/>
    <x v="6"/>
    <x v="3"/>
    <n v="900"/>
    <n v="2"/>
    <n v="0.05"/>
    <n v="1710"/>
    <s v="Islamabad"/>
    <s v="Card"/>
  </r>
  <r>
    <n v="1138"/>
    <s v="2025-03-03"/>
    <s v="Usman"/>
    <x v="1"/>
    <x v="1"/>
    <n v="3500"/>
    <n v="1"/>
    <n v="0"/>
    <n v="3500"/>
    <s v="Multan"/>
    <s v="COD"/>
  </r>
  <r>
    <n v="1139"/>
    <s v="2025-04-05"/>
    <s v="Bilal"/>
    <x v="1"/>
    <x v="1"/>
    <n v="3500"/>
    <n v="5"/>
    <n v="0"/>
    <n v="17500"/>
    <s v="Faisalabad"/>
    <s v="Wallet"/>
  </r>
  <r>
    <n v="1140"/>
    <s v="2025-06-09"/>
    <s v="Zain"/>
    <x v="4"/>
    <x v="0"/>
    <n v="2800"/>
    <n v="5"/>
    <n v="0.05"/>
    <n v="13300"/>
    <s v="Multan"/>
    <s v="Card"/>
  </r>
  <r>
    <n v="1141"/>
    <s v="2025-06-28"/>
    <s v="Fatima"/>
    <x v="6"/>
    <x v="3"/>
    <n v="900"/>
    <n v="4"/>
    <n v="0.05"/>
    <n v="3420"/>
    <s v="Multan"/>
    <s v="Card"/>
  </r>
  <r>
    <n v="1142"/>
    <s v="2025-01-08"/>
    <s v="Zain"/>
    <x v="3"/>
    <x v="2"/>
    <n v="4500"/>
    <n v="5"/>
    <n v="0.1"/>
    <n v="20250"/>
    <s v="Faisalabad"/>
    <s v="Card"/>
  </r>
  <r>
    <n v="1143"/>
    <s v="2025-01-13"/>
    <s v="Ahmed"/>
    <x v="1"/>
    <x v="1"/>
    <n v="3500"/>
    <n v="1"/>
    <n v="0"/>
    <n v="3500"/>
    <s v="Islamabad"/>
    <s v="Wallet"/>
  </r>
  <r>
    <n v="1144"/>
    <s v="2025-04-01"/>
    <s v="Sara"/>
    <x v="2"/>
    <x v="0"/>
    <n v="2200"/>
    <n v="5"/>
    <n v="0.05"/>
    <n v="10450"/>
    <s v="Islamabad"/>
    <s v="COD"/>
  </r>
  <r>
    <n v="1145"/>
    <s v="2025-04-17"/>
    <s v="Hina"/>
    <x v="4"/>
    <x v="0"/>
    <n v="2800"/>
    <n v="1"/>
    <n v="0.05"/>
    <n v="2660"/>
    <s v="Islamabad"/>
    <s v="COD"/>
  </r>
  <r>
    <n v="1146"/>
    <s v="2025-03-13"/>
    <s v="Zain"/>
    <x v="0"/>
    <x v="0"/>
    <n v="1200"/>
    <n v="4"/>
    <n v="0.1"/>
    <n v="4320"/>
    <s v="Karachi"/>
    <s v="COD"/>
  </r>
  <r>
    <n v="1147"/>
    <s v="2025-02-14"/>
    <s v="Noor"/>
    <x v="5"/>
    <x v="0"/>
    <n v="5000"/>
    <n v="4"/>
    <n v="0"/>
    <n v="20000"/>
    <s v="Faisalabad"/>
    <s v="COD"/>
  </r>
  <r>
    <n v="1148"/>
    <s v="2025-04-19"/>
    <s v="Bilal"/>
    <x v="6"/>
    <x v="3"/>
    <n v="900"/>
    <n v="1"/>
    <n v="0.15"/>
    <n v="765"/>
    <s v="Islamabad"/>
    <s v="Wallet"/>
  </r>
  <r>
    <n v="1149"/>
    <s v="2025-05-09"/>
    <s v="Usman"/>
    <x v="0"/>
    <x v="0"/>
    <n v="1200"/>
    <n v="3"/>
    <n v="0.1"/>
    <n v="3240"/>
    <s v="Karachi"/>
    <s v="Wallet"/>
  </r>
  <r>
    <n v="1150"/>
    <s v="2025-03-08"/>
    <s v="Bilal"/>
    <x v="5"/>
    <x v="0"/>
    <n v="5000"/>
    <n v="2"/>
    <n v="0.05"/>
    <n v="9500"/>
    <s v="Karachi"/>
    <s v="COD"/>
  </r>
  <r>
    <n v="1151"/>
    <s v="2025-05-25"/>
    <s v="Hina"/>
    <x v="0"/>
    <x v="0"/>
    <n v="1200"/>
    <n v="1"/>
    <n v="0.1"/>
    <n v="1080"/>
    <s v="Lahore"/>
    <s v="COD"/>
  </r>
  <r>
    <n v="1152"/>
    <s v="2025-02-13"/>
    <s v="Zain"/>
    <x v="0"/>
    <x v="0"/>
    <n v="1200"/>
    <n v="1"/>
    <n v="0.2"/>
    <n v="960"/>
    <s v="Faisalabad"/>
    <s v="Wallet"/>
  </r>
  <r>
    <n v="1153"/>
    <s v="2025-03-14"/>
    <s v="Noor"/>
    <x v="4"/>
    <x v="0"/>
    <n v="2800"/>
    <n v="4"/>
    <n v="0.15"/>
    <n v="9520"/>
    <s v="Multan"/>
    <s v="COD"/>
  </r>
  <r>
    <n v="1154"/>
    <s v="2025-02-14"/>
    <s v="Hina"/>
    <x v="4"/>
    <x v="0"/>
    <n v="2800"/>
    <n v="1"/>
    <n v="0.05"/>
    <n v="2660"/>
    <s v="Karachi"/>
    <s v="Card"/>
  </r>
  <r>
    <n v="1155"/>
    <s v="2025-06-12"/>
    <s v="Usman"/>
    <x v="2"/>
    <x v="0"/>
    <n v="2200"/>
    <n v="4"/>
    <n v="0.15"/>
    <n v="7480"/>
    <s v="Faisalabad"/>
    <s v="Wallet"/>
  </r>
  <r>
    <n v="1156"/>
    <s v="2025-03-02"/>
    <s v="Sara"/>
    <x v="2"/>
    <x v="0"/>
    <n v="2200"/>
    <n v="1"/>
    <n v="0.05"/>
    <n v="2090"/>
    <s v="Multan"/>
    <s v="COD"/>
  </r>
  <r>
    <n v="1157"/>
    <s v="2025-06-19"/>
    <s v="Sara"/>
    <x v="1"/>
    <x v="1"/>
    <n v="3500"/>
    <n v="2"/>
    <n v="0.2"/>
    <n v="5600"/>
    <s v="Multan"/>
    <s v="COD"/>
  </r>
  <r>
    <n v="1158"/>
    <s v="2025-06-09"/>
    <s v="Bilal"/>
    <x v="3"/>
    <x v="2"/>
    <n v="4500"/>
    <n v="4"/>
    <n v="0.1"/>
    <n v="16200"/>
    <s v="Islamabad"/>
    <s v="COD"/>
  </r>
  <r>
    <n v="1159"/>
    <s v="2025-06-03"/>
    <s v="Hina"/>
    <x v="3"/>
    <x v="2"/>
    <n v="4500"/>
    <n v="1"/>
    <n v="0.2"/>
    <n v="3600"/>
    <s v="Lahore"/>
    <s v="COD"/>
  </r>
  <r>
    <n v="1160"/>
    <s v="2025-01-05"/>
    <s v="Ayesha"/>
    <x v="5"/>
    <x v="0"/>
    <n v="5000"/>
    <n v="3"/>
    <n v="0.1"/>
    <n v="13500"/>
    <s v="Karachi"/>
    <s v="Wallet"/>
  </r>
  <r>
    <n v="1161"/>
    <s v="2025-02-21"/>
    <s v="Ahmed"/>
    <x v="0"/>
    <x v="0"/>
    <n v="1200"/>
    <n v="3"/>
    <n v="0.2"/>
    <n v="2880"/>
    <s v="Multan"/>
    <s v="Wallet"/>
  </r>
  <r>
    <n v="1162"/>
    <s v="2025-06-09"/>
    <s v="Usman"/>
    <x v="2"/>
    <x v="0"/>
    <n v="2200"/>
    <n v="4"/>
    <n v="0.15"/>
    <n v="7480"/>
    <s v="Lahore"/>
    <s v="Wallet"/>
  </r>
  <r>
    <n v="1163"/>
    <s v="2025-03-24"/>
    <s v="Bilal"/>
    <x v="3"/>
    <x v="2"/>
    <n v="4500"/>
    <n v="2"/>
    <n v="0.1"/>
    <n v="8100"/>
    <s v="Islamabad"/>
    <s v="COD"/>
  </r>
  <r>
    <n v="1164"/>
    <s v="2025-03-22"/>
    <s v="Sara"/>
    <x v="2"/>
    <x v="0"/>
    <n v="2200"/>
    <n v="1"/>
    <n v="0.2"/>
    <n v="1760"/>
    <s v="Karachi"/>
    <s v="Wallet"/>
  </r>
  <r>
    <n v="1165"/>
    <s v="2025-03-26"/>
    <s v="Ali"/>
    <x v="1"/>
    <x v="1"/>
    <n v="3500"/>
    <n v="4"/>
    <n v="0.1"/>
    <n v="12600"/>
    <s v="Lahore"/>
    <s v="COD"/>
  </r>
  <r>
    <n v="1166"/>
    <s v="2025-04-15"/>
    <s v="Sara"/>
    <x v="0"/>
    <x v="0"/>
    <n v="1200"/>
    <n v="1"/>
    <n v="0"/>
    <n v="1200"/>
    <s v="Multan"/>
    <s v="Card"/>
  </r>
  <r>
    <n v="1167"/>
    <s v="2025-06-24"/>
    <s v="Zain"/>
    <x v="2"/>
    <x v="0"/>
    <n v="2200"/>
    <n v="4"/>
    <n v="0.15"/>
    <n v="7480"/>
    <s v="Lahore"/>
    <s v="Wallet"/>
  </r>
  <r>
    <n v="1168"/>
    <s v="2025-05-10"/>
    <s v="Usman"/>
    <x v="5"/>
    <x v="0"/>
    <n v="5000"/>
    <n v="2"/>
    <n v="0.15"/>
    <n v="8500"/>
    <s v="Islamabad"/>
    <s v="Card"/>
  </r>
  <r>
    <n v="1169"/>
    <s v="2025-02-13"/>
    <s v="Bilal"/>
    <x v="1"/>
    <x v="1"/>
    <n v="3500"/>
    <n v="3"/>
    <n v="0.1"/>
    <n v="9450"/>
    <s v="Multan"/>
    <s v="Card"/>
  </r>
  <r>
    <n v="1170"/>
    <s v="2025-03-08"/>
    <s v="Ali"/>
    <x v="6"/>
    <x v="3"/>
    <n v="900"/>
    <n v="1"/>
    <n v="0.1"/>
    <n v="810"/>
    <s v="Faisalabad"/>
    <s v="Wallet"/>
  </r>
  <r>
    <n v="1171"/>
    <s v="2025-04-16"/>
    <s v="Hina"/>
    <x v="5"/>
    <x v="0"/>
    <n v="5000"/>
    <n v="3"/>
    <n v="0.05"/>
    <n v="14250"/>
    <s v="Multan"/>
    <s v="COD"/>
  </r>
  <r>
    <n v="1172"/>
    <s v="2025-04-04"/>
    <s v="Sara"/>
    <x v="0"/>
    <x v="0"/>
    <n v="1200"/>
    <n v="3"/>
    <n v="0"/>
    <n v="3600"/>
    <s v="Faisalabad"/>
    <s v="COD"/>
  </r>
  <r>
    <n v="1173"/>
    <s v="2025-03-16"/>
    <s v="Zain"/>
    <x v="3"/>
    <x v="2"/>
    <n v="4500"/>
    <n v="5"/>
    <n v="0.05"/>
    <n v="21375"/>
    <s v="Multan"/>
    <s v="COD"/>
  </r>
  <r>
    <n v="1174"/>
    <s v="2025-04-25"/>
    <s v="Ali"/>
    <x v="4"/>
    <x v="0"/>
    <n v="2800"/>
    <n v="3"/>
    <n v="0.15"/>
    <n v="7140"/>
    <s v="Multan"/>
    <s v="Card"/>
  </r>
  <r>
    <n v="1175"/>
    <s v="2025-01-11"/>
    <s v="Hina"/>
    <x v="6"/>
    <x v="3"/>
    <n v="900"/>
    <n v="4"/>
    <n v="0.15"/>
    <n v="3060"/>
    <s v="Faisalabad"/>
    <s v="COD"/>
  </r>
  <r>
    <n v="1176"/>
    <s v="2025-06-11"/>
    <s v="Zain"/>
    <x v="1"/>
    <x v="1"/>
    <n v="3500"/>
    <n v="2"/>
    <n v="0.15"/>
    <n v="5950"/>
    <s v="Karachi"/>
    <s v="Card"/>
  </r>
  <r>
    <n v="1177"/>
    <s v="2025-06-25"/>
    <s v="Ayesha"/>
    <x v="4"/>
    <x v="0"/>
    <n v="2800"/>
    <n v="3"/>
    <n v="0.2"/>
    <n v="6720"/>
    <s v="Karachi"/>
    <s v="Card"/>
  </r>
  <r>
    <n v="1178"/>
    <s v="2025-06-04"/>
    <s v="Ayesha"/>
    <x v="1"/>
    <x v="1"/>
    <n v="3500"/>
    <n v="5"/>
    <n v="0.15"/>
    <n v="14875"/>
    <s v="Multan"/>
    <s v="Card"/>
  </r>
  <r>
    <n v="1179"/>
    <s v="2025-06-15"/>
    <s v="Noor"/>
    <x v="2"/>
    <x v="0"/>
    <n v="2200"/>
    <n v="2"/>
    <n v="0"/>
    <n v="4400"/>
    <s v="Lahore"/>
    <s v="COD"/>
  </r>
  <r>
    <n v="1180"/>
    <s v="2025-02-22"/>
    <s v="Fatima"/>
    <x v="5"/>
    <x v="0"/>
    <n v="5000"/>
    <n v="5"/>
    <n v="0"/>
    <n v="25000"/>
    <s v="Lahore"/>
    <s v="Card"/>
  </r>
  <r>
    <n v="1181"/>
    <s v="2025-06-11"/>
    <s v="Hina"/>
    <x v="0"/>
    <x v="0"/>
    <n v="1200"/>
    <n v="3"/>
    <n v="0.1"/>
    <n v="3240"/>
    <s v="Karachi"/>
    <s v="Wallet"/>
  </r>
  <r>
    <n v="1182"/>
    <s v="2025-01-13"/>
    <s v="Fatima"/>
    <x v="4"/>
    <x v="0"/>
    <n v="2800"/>
    <n v="3"/>
    <n v="0"/>
    <n v="8400"/>
    <s v="Multan"/>
    <s v="COD"/>
  </r>
  <r>
    <n v="1183"/>
    <s v="2025-01-11"/>
    <s v="Bilal"/>
    <x v="5"/>
    <x v="0"/>
    <n v="5000"/>
    <n v="4"/>
    <n v="0"/>
    <n v="20000"/>
    <s v="Multan"/>
    <s v="COD"/>
  </r>
  <r>
    <n v="1184"/>
    <s v="2025-06-17"/>
    <s v="Sara"/>
    <x v="5"/>
    <x v="0"/>
    <n v="5000"/>
    <n v="3"/>
    <n v="0"/>
    <n v="15000"/>
    <s v="Faisalabad"/>
    <s v="Wallet"/>
  </r>
  <r>
    <n v="1185"/>
    <s v="2025-01-10"/>
    <s v="Sara"/>
    <x v="6"/>
    <x v="3"/>
    <n v="900"/>
    <n v="2"/>
    <n v="0"/>
    <n v="1800"/>
    <s v="Islamabad"/>
    <s v="COD"/>
  </r>
  <r>
    <n v="1186"/>
    <s v="2025-06-21"/>
    <s v="Fatima"/>
    <x v="5"/>
    <x v="0"/>
    <n v="5000"/>
    <n v="2"/>
    <n v="0.15"/>
    <n v="8500"/>
    <s v="Lahore"/>
    <s v="COD"/>
  </r>
  <r>
    <n v="1187"/>
    <s v="2025-02-21"/>
    <s v="Usman"/>
    <x v="4"/>
    <x v="0"/>
    <n v="2800"/>
    <n v="4"/>
    <n v="0"/>
    <n v="11200"/>
    <s v="Lahore"/>
    <s v="Wallet"/>
  </r>
  <r>
    <n v="1188"/>
    <s v="2025-05-11"/>
    <s v="Noor"/>
    <x v="3"/>
    <x v="2"/>
    <n v="4500"/>
    <n v="1"/>
    <n v="0.1"/>
    <n v="4050"/>
    <s v="Karachi"/>
    <s v="Wallet"/>
  </r>
  <r>
    <n v="1189"/>
    <s v="2025-05-24"/>
    <s v="Zain"/>
    <x v="2"/>
    <x v="0"/>
    <n v="2200"/>
    <n v="3"/>
    <n v="0.1"/>
    <n v="5940"/>
    <s v="Faisalabad"/>
    <s v="Card"/>
  </r>
  <r>
    <n v="1190"/>
    <s v="2025-02-05"/>
    <s v="Usman"/>
    <x v="3"/>
    <x v="2"/>
    <n v="4500"/>
    <n v="4"/>
    <n v="0.05"/>
    <n v="17100"/>
    <s v="Lahore"/>
    <s v="COD"/>
  </r>
  <r>
    <n v="1191"/>
    <s v="2025-04-14"/>
    <s v="Noor"/>
    <x v="4"/>
    <x v="0"/>
    <n v="2800"/>
    <n v="1"/>
    <n v="0"/>
    <n v="2800"/>
    <s v="Islamabad"/>
    <s v="Card"/>
  </r>
  <r>
    <n v="1192"/>
    <s v="2025-06-25"/>
    <s v="Zain"/>
    <x v="0"/>
    <x v="0"/>
    <n v="1200"/>
    <n v="5"/>
    <n v="0.15"/>
    <n v="5100"/>
    <s v="Multan"/>
    <s v="Card"/>
  </r>
  <r>
    <n v="1193"/>
    <s v="2025-04-05"/>
    <s v="Sara"/>
    <x v="4"/>
    <x v="0"/>
    <n v="2800"/>
    <n v="4"/>
    <n v="0.15"/>
    <n v="9520"/>
    <s v="Karachi"/>
    <s v="Wallet"/>
  </r>
  <r>
    <n v="1194"/>
    <s v="2025-06-24"/>
    <s v="Usman"/>
    <x v="0"/>
    <x v="0"/>
    <n v="1200"/>
    <n v="4"/>
    <n v="0.05"/>
    <n v="4560"/>
    <s v="Multan"/>
    <s v="Wallet"/>
  </r>
  <r>
    <n v="1195"/>
    <s v="2025-01-22"/>
    <s v="Usman"/>
    <x v="2"/>
    <x v="0"/>
    <n v="2200"/>
    <n v="2"/>
    <n v="0.05"/>
    <n v="4180"/>
    <s v="Islamabad"/>
    <s v="COD"/>
  </r>
  <r>
    <n v="1196"/>
    <s v="2025-04-27"/>
    <s v="Noor"/>
    <x v="5"/>
    <x v="0"/>
    <n v="5000"/>
    <n v="4"/>
    <n v="0"/>
    <n v="20000"/>
    <s v="Lahore"/>
    <s v="Card"/>
  </r>
  <r>
    <n v="1197"/>
    <s v="2025-01-17"/>
    <s v="Hina"/>
    <x v="5"/>
    <x v="0"/>
    <n v="5000"/>
    <n v="1"/>
    <n v="0"/>
    <n v="5000"/>
    <s v="Multan"/>
    <s v="COD"/>
  </r>
  <r>
    <n v="1198"/>
    <s v="2025-01-21"/>
    <s v="Zain"/>
    <x v="0"/>
    <x v="0"/>
    <n v="1200"/>
    <n v="1"/>
    <n v="0.1"/>
    <n v="1080"/>
    <s v="Lahore"/>
    <s v="COD"/>
  </r>
  <r>
    <n v="1199"/>
    <s v="2025-01-06"/>
    <s v="Ahmed"/>
    <x v="6"/>
    <x v="3"/>
    <n v="900"/>
    <n v="5"/>
    <n v="0"/>
    <n v="4500"/>
    <s v="Karachi"/>
    <s v="Card"/>
  </r>
  <r>
    <n v="1200"/>
    <s v="2025-06-05"/>
    <s v="Fatima"/>
    <x v="1"/>
    <x v="1"/>
    <n v="3500"/>
    <n v="4"/>
    <n v="0.15"/>
    <n v="11900"/>
    <s v="Faisalabad"/>
    <s v="COD"/>
  </r>
  <r>
    <n v="1201"/>
    <s v="2025-06-25"/>
    <s v="Usman"/>
    <x v="2"/>
    <x v="0"/>
    <n v="2200"/>
    <n v="5"/>
    <n v="0.15"/>
    <n v="9350"/>
    <s v="Islamabad"/>
    <s v="Card"/>
  </r>
  <r>
    <n v="1202"/>
    <s v="2025-02-27"/>
    <s v="Fatima"/>
    <x v="1"/>
    <x v="1"/>
    <n v="3500"/>
    <n v="4"/>
    <n v="0.05"/>
    <n v="13300"/>
    <s v="Islamabad"/>
    <s v="Card"/>
  </r>
  <r>
    <n v="1203"/>
    <s v="2025-02-24"/>
    <s v="Bilal"/>
    <x v="6"/>
    <x v="3"/>
    <n v="900"/>
    <n v="1"/>
    <n v="0.1"/>
    <n v="810"/>
    <s v="Multan"/>
    <s v="COD"/>
  </r>
  <r>
    <n v="1204"/>
    <s v="2025-01-19"/>
    <s v="Usman"/>
    <x v="6"/>
    <x v="3"/>
    <n v="900"/>
    <n v="4"/>
    <n v="0.15"/>
    <n v="3060"/>
    <s v="Multan"/>
    <s v="COD"/>
  </r>
  <r>
    <n v="1205"/>
    <s v="2025-04-10"/>
    <s v="Ayesha"/>
    <x v="6"/>
    <x v="3"/>
    <n v="900"/>
    <n v="1"/>
    <n v="0"/>
    <n v="900"/>
    <s v="Faisalabad"/>
    <s v="COD"/>
  </r>
  <r>
    <n v="1206"/>
    <s v="2025-01-03"/>
    <s v="Fatima"/>
    <x v="1"/>
    <x v="1"/>
    <n v="3500"/>
    <n v="1"/>
    <n v="0.15"/>
    <n v="2975"/>
    <s v="Islamabad"/>
    <s v="Wallet"/>
  </r>
  <r>
    <n v="1207"/>
    <s v="2025-02-13"/>
    <s v="Fatima"/>
    <x v="0"/>
    <x v="0"/>
    <n v="1200"/>
    <n v="3"/>
    <n v="0.1"/>
    <n v="3240"/>
    <s v="Lahore"/>
    <s v="Card"/>
  </r>
  <r>
    <n v="1208"/>
    <s v="2025-06-07"/>
    <s v="Bilal"/>
    <x v="0"/>
    <x v="0"/>
    <n v="1200"/>
    <n v="3"/>
    <n v="0.1"/>
    <n v="3240"/>
    <s v="Islamabad"/>
    <s v="Wallet"/>
  </r>
  <r>
    <n v="1209"/>
    <s v="2025-06-22"/>
    <s v="Zain"/>
    <x v="6"/>
    <x v="3"/>
    <n v="900"/>
    <n v="1"/>
    <n v="0.15"/>
    <n v="765"/>
    <s v="Lahore"/>
    <s v="COD"/>
  </r>
  <r>
    <n v="1210"/>
    <s v="2025-01-19"/>
    <s v="Ali"/>
    <x v="5"/>
    <x v="0"/>
    <n v="5000"/>
    <n v="4"/>
    <n v="0.15"/>
    <n v="17000"/>
    <s v="Karachi"/>
    <s v="Wallet"/>
  </r>
  <r>
    <n v="1211"/>
    <s v="2025-02-24"/>
    <s v="Fatima"/>
    <x v="6"/>
    <x v="3"/>
    <n v="900"/>
    <n v="5"/>
    <n v="0"/>
    <n v="4500"/>
    <s v="Islamabad"/>
    <s v="Card"/>
  </r>
  <r>
    <n v="1212"/>
    <s v="2025-03-05"/>
    <s v="Usman"/>
    <x v="3"/>
    <x v="2"/>
    <n v="4500"/>
    <n v="5"/>
    <n v="0.2"/>
    <n v="18000"/>
    <s v="Multan"/>
    <s v="Wallet"/>
  </r>
  <r>
    <n v="1213"/>
    <s v="2025-04-17"/>
    <s v="Fatima"/>
    <x v="4"/>
    <x v="0"/>
    <n v="2800"/>
    <n v="1"/>
    <n v="0.15"/>
    <n v="2380"/>
    <s v="Lahore"/>
    <s v="Wallet"/>
  </r>
  <r>
    <n v="1214"/>
    <s v="2025-04-01"/>
    <s v="Ali"/>
    <x v="3"/>
    <x v="2"/>
    <n v="4500"/>
    <n v="1"/>
    <n v="0.2"/>
    <n v="3600"/>
    <s v="Multan"/>
    <s v="Card"/>
  </r>
  <r>
    <n v="1215"/>
    <s v="2025-01-22"/>
    <s v="Usman"/>
    <x v="1"/>
    <x v="1"/>
    <n v="3500"/>
    <n v="2"/>
    <n v="0.15"/>
    <n v="5950"/>
    <s v="Faisalabad"/>
    <s v="COD"/>
  </r>
  <r>
    <n v="1216"/>
    <s v="2025-04-14"/>
    <s v="Ayesha"/>
    <x v="3"/>
    <x v="2"/>
    <n v="4500"/>
    <n v="4"/>
    <n v="0"/>
    <n v="18000"/>
    <s v="Faisalabad"/>
    <s v="COD"/>
  </r>
  <r>
    <n v="1217"/>
    <s v="2025-04-25"/>
    <s v="Zain"/>
    <x v="1"/>
    <x v="1"/>
    <n v="3500"/>
    <n v="3"/>
    <n v="0"/>
    <n v="10500"/>
    <s v="Lahore"/>
    <s v="COD"/>
  </r>
  <r>
    <n v="1218"/>
    <s v="2025-01-04"/>
    <s v="Noor"/>
    <x v="1"/>
    <x v="1"/>
    <n v="3500"/>
    <n v="4"/>
    <n v="0.1"/>
    <n v="12600"/>
    <s v="Multan"/>
    <s v="COD"/>
  </r>
  <r>
    <n v="1219"/>
    <s v="2025-01-29"/>
    <s v="Bilal"/>
    <x v="6"/>
    <x v="3"/>
    <n v="900"/>
    <n v="3"/>
    <n v="0.15"/>
    <n v="2295"/>
    <s v="Islamabad"/>
    <s v="Wallet"/>
  </r>
  <r>
    <n v="1220"/>
    <s v="2025-06-10"/>
    <s v="Fatima"/>
    <x v="5"/>
    <x v="0"/>
    <n v="5000"/>
    <n v="2"/>
    <n v="0.05"/>
    <n v="9500"/>
    <s v="Lahore"/>
    <s v="Card"/>
  </r>
  <r>
    <n v="1221"/>
    <s v="2025-01-19"/>
    <s v="Ayesha"/>
    <x v="0"/>
    <x v="0"/>
    <n v="1200"/>
    <n v="1"/>
    <n v="0.2"/>
    <n v="960"/>
    <s v="Karachi"/>
    <s v="COD"/>
  </r>
  <r>
    <n v="1222"/>
    <s v="2025-03-09"/>
    <s v="Hina"/>
    <x v="5"/>
    <x v="0"/>
    <n v="5000"/>
    <n v="3"/>
    <n v="0.1"/>
    <n v="13500"/>
    <s v="Lahore"/>
    <s v="COD"/>
  </r>
  <r>
    <n v="1223"/>
    <s v="2025-06-08"/>
    <s v="Ali"/>
    <x v="2"/>
    <x v="0"/>
    <n v="2200"/>
    <n v="1"/>
    <n v="0.05"/>
    <n v="2090"/>
    <s v="Faisalabad"/>
    <s v="Card"/>
  </r>
  <r>
    <n v="1224"/>
    <s v="2025-04-06"/>
    <s v="Ahmed"/>
    <x v="3"/>
    <x v="2"/>
    <n v="4500"/>
    <n v="5"/>
    <n v="0.05"/>
    <n v="21375"/>
    <s v="Faisalabad"/>
    <s v="COD"/>
  </r>
  <r>
    <n v="1225"/>
    <s v="2025-03-01"/>
    <s v="Noor"/>
    <x v="2"/>
    <x v="0"/>
    <n v="2200"/>
    <n v="2"/>
    <n v="0.2"/>
    <n v="3520"/>
    <s v="Islamabad"/>
    <s v="Wallet"/>
  </r>
  <r>
    <n v="1226"/>
    <s v="2025-05-01"/>
    <s v="Ayesha"/>
    <x v="6"/>
    <x v="3"/>
    <n v="900"/>
    <n v="5"/>
    <n v="0.2"/>
    <n v="3600"/>
    <s v="Karachi"/>
    <s v="Card"/>
  </r>
  <r>
    <n v="1227"/>
    <s v="2025-06-05"/>
    <s v="Usman"/>
    <x v="6"/>
    <x v="3"/>
    <n v="900"/>
    <n v="1"/>
    <n v="0"/>
    <n v="900"/>
    <s v="Islamabad"/>
    <s v="Card"/>
  </r>
  <r>
    <n v="1228"/>
    <s v="2025-06-08"/>
    <s v="Sara"/>
    <x v="0"/>
    <x v="0"/>
    <n v="1200"/>
    <n v="4"/>
    <n v="0.2"/>
    <n v="3840"/>
    <s v="Faisalabad"/>
    <s v="Card"/>
  </r>
  <r>
    <n v="1229"/>
    <s v="2025-01-30"/>
    <s v="Ali"/>
    <x v="6"/>
    <x v="3"/>
    <n v="900"/>
    <n v="2"/>
    <n v="0.1"/>
    <n v="1620"/>
    <s v="Faisalabad"/>
    <s v="Wallet"/>
  </r>
  <r>
    <n v="1230"/>
    <s v="2025-05-27"/>
    <s v="Fatima"/>
    <x v="5"/>
    <x v="0"/>
    <n v="5000"/>
    <n v="5"/>
    <n v="0"/>
    <n v="25000"/>
    <s v="Islamabad"/>
    <s v="Card"/>
  </r>
  <r>
    <n v="1231"/>
    <s v="2025-01-16"/>
    <s v="Sara"/>
    <x v="4"/>
    <x v="0"/>
    <n v="2800"/>
    <n v="1"/>
    <n v="0.1"/>
    <n v="2520"/>
    <s v="Karachi"/>
    <s v="COD"/>
  </r>
  <r>
    <n v="1232"/>
    <s v="2025-01-02"/>
    <s v="Ayesha"/>
    <x v="6"/>
    <x v="3"/>
    <n v="900"/>
    <n v="2"/>
    <n v="0.05"/>
    <n v="1710"/>
    <s v="Multan"/>
    <s v="Card"/>
  </r>
  <r>
    <n v="1233"/>
    <s v="2025-01-26"/>
    <s v="Noor"/>
    <x v="1"/>
    <x v="1"/>
    <n v="3500"/>
    <n v="1"/>
    <n v="0.05"/>
    <n v="3325"/>
    <s v="Islamabad"/>
    <s v="COD"/>
  </r>
  <r>
    <n v="1234"/>
    <s v="2025-02-07"/>
    <s v="Bilal"/>
    <x v="2"/>
    <x v="0"/>
    <n v="2200"/>
    <n v="4"/>
    <n v="0"/>
    <n v="8800"/>
    <s v="Multan"/>
    <s v="Card"/>
  </r>
  <r>
    <n v="1235"/>
    <s v="2025-03-24"/>
    <s v="Fatima"/>
    <x v="4"/>
    <x v="0"/>
    <n v="2800"/>
    <n v="4"/>
    <n v="0.05"/>
    <n v="10640"/>
    <s v="Karachi"/>
    <s v="COD"/>
  </r>
  <r>
    <n v="1236"/>
    <s v="2025-06-07"/>
    <s v="Ayesha"/>
    <x v="5"/>
    <x v="0"/>
    <n v="5000"/>
    <n v="5"/>
    <n v="0.1"/>
    <n v="22500"/>
    <s v="Faisalabad"/>
    <s v="Card"/>
  </r>
  <r>
    <n v="1237"/>
    <s v="2025-03-05"/>
    <s v="Ayesha"/>
    <x v="6"/>
    <x v="3"/>
    <n v="900"/>
    <n v="5"/>
    <n v="0.1"/>
    <n v="4050"/>
    <s v="Islamabad"/>
    <s v="Card"/>
  </r>
  <r>
    <n v="1238"/>
    <s v="2025-05-03"/>
    <s v="Ayesha"/>
    <x v="1"/>
    <x v="1"/>
    <n v="3500"/>
    <n v="5"/>
    <n v="0.15"/>
    <n v="14875"/>
    <s v="Karachi"/>
    <s v="COD"/>
  </r>
  <r>
    <n v="1239"/>
    <s v="2025-04-29"/>
    <s v="Fatima"/>
    <x v="1"/>
    <x v="1"/>
    <n v="3500"/>
    <n v="4"/>
    <n v="0.05"/>
    <n v="13300"/>
    <s v="Faisalabad"/>
    <s v="Card"/>
  </r>
  <r>
    <n v="1240"/>
    <s v="2025-04-05"/>
    <s v="Ayesha"/>
    <x v="5"/>
    <x v="0"/>
    <n v="5000"/>
    <n v="2"/>
    <n v="0.2"/>
    <n v="8000"/>
    <s v="Multan"/>
    <s v="COD"/>
  </r>
  <r>
    <n v="1241"/>
    <s v="2025-06-16"/>
    <s v="Fatima"/>
    <x v="6"/>
    <x v="3"/>
    <n v="900"/>
    <n v="3"/>
    <n v="0.05"/>
    <n v="2565"/>
    <s v="Karachi"/>
    <s v="Wallet"/>
  </r>
  <r>
    <n v="1242"/>
    <s v="2025-02-27"/>
    <s v="Ayesha"/>
    <x v="6"/>
    <x v="3"/>
    <n v="900"/>
    <n v="5"/>
    <n v="0.05"/>
    <n v="4275"/>
    <s v="Karachi"/>
    <s v="COD"/>
  </r>
  <r>
    <n v="1243"/>
    <s v="2025-04-16"/>
    <s v="Ahmed"/>
    <x v="4"/>
    <x v="0"/>
    <n v="2800"/>
    <n v="1"/>
    <n v="0.15"/>
    <n v="2380"/>
    <s v="Lahore"/>
    <s v="COD"/>
  </r>
  <r>
    <n v="1244"/>
    <s v="2025-04-24"/>
    <s v="Noor"/>
    <x v="4"/>
    <x v="0"/>
    <n v="2800"/>
    <n v="3"/>
    <n v="0.05"/>
    <n v="7980"/>
    <s v="Multan"/>
    <s v="Card"/>
  </r>
  <r>
    <n v="1245"/>
    <s v="2025-04-15"/>
    <s v="Hina"/>
    <x v="2"/>
    <x v="0"/>
    <n v="2200"/>
    <n v="4"/>
    <n v="0.1"/>
    <n v="7920"/>
    <s v="Multan"/>
    <s v="COD"/>
  </r>
  <r>
    <n v="1246"/>
    <s v="2025-06-23"/>
    <s v="Sara"/>
    <x v="1"/>
    <x v="1"/>
    <n v="3500"/>
    <n v="5"/>
    <n v="0.1"/>
    <n v="15750"/>
    <s v="Faisalabad"/>
    <s v="COD"/>
  </r>
  <r>
    <n v="1247"/>
    <s v="2025-04-22"/>
    <s v="Ayesha"/>
    <x v="3"/>
    <x v="2"/>
    <n v="4500"/>
    <n v="3"/>
    <n v="0.1"/>
    <n v="12150"/>
    <s v="Multan"/>
    <s v="COD"/>
  </r>
  <r>
    <n v="1248"/>
    <s v="2025-01-10"/>
    <s v="Bilal"/>
    <x v="1"/>
    <x v="1"/>
    <n v="3500"/>
    <n v="2"/>
    <n v="0"/>
    <n v="7000"/>
    <s v="Islamabad"/>
    <s v="Card"/>
  </r>
  <r>
    <n v="1249"/>
    <s v="2025-01-18"/>
    <s v="Fatima"/>
    <x v="6"/>
    <x v="3"/>
    <n v="900"/>
    <n v="2"/>
    <n v="0"/>
    <n v="1800"/>
    <s v="Lahore"/>
    <s v="Wallet"/>
  </r>
  <r>
    <n v="1250"/>
    <s v="2025-06-28"/>
    <s v="Usman"/>
    <x v="0"/>
    <x v="0"/>
    <n v="1200"/>
    <n v="4"/>
    <n v="0.2"/>
    <n v="3840"/>
    <s v="Islamabad"/>
    <s v="Card"/>
  </r>
  <r>
    <n v="1251"/>
    <s v="2025-01-03"/>
    <s v="Ahmed"/>
    <x v="2"/>
    <x v="0"/>
    <n v="2200"/>
    <n v="1"/>
    <n v="0.1"/>
    <n v="1980"/>
    <s v="Lahore"/>
    <s v="COD"/>
  </r>
  <r>
    <n v="1252"/>
    <s v="2025-03-11"/>
    <s v="Bilal"/>
    <x v="1"/>
    <x v="1"/>
    <n v="3500"/>
    <n v="1"/>
    <n v="0.15"/>
    <n v="2975"/>
    <s v="Islamabad"/>
    <s v="COD"/>
  </r>
  <r>
    <n v="1253"/>
    <s v="2025-02-21"/>
    <s v="Bilal"/>
    <x v="5"/>
    <x v="0"/>
    <n v="5000"/>
    <n v="4"/>
    <n v="0.1"/>
    <n v="18000"/>
    <s v="Faisalabad"/>
    <s v="Card"/>
  </r>
  <r>
    <n v="1254"/>
    <s v="2025-05-18"/>
    <s v="Hina"/>
    <x v="6"/>
    <x v="3"/>
    <n v="900"/>
    <n v="4"/>
    <n v="0.2"/>
    <n v="2880"/>
    <s v="Karachi"/>
    <s v="Card"/>
  </r>
  <r>
    <n v="1255"/>
    <s v="2025-05-03"/>
    <s v="Ayesha"/>
    <x v="4"/>
    <x v="0"/>
    <n v="2800"/>
    <n v="5"/>
    <n v="0"/>
    <n v="14000"/>
    <s v="Karachi"/>
    <s v="Wallet"/>
  </r>
  <r>
    <n v="1256"/>
    <s v="2025-02-27"/>
    <s v="Fatima"/>
    <x v="0"/>
    <x v="0"/>
    <n v="1200"/>
    <n v="1"/>
    <n v="0.05"/>
    <n v="1140"/>
    <s v="Lahore"/>
    <s v="Wallet"/>
  </r>
  <r>
    <n v="1257"/>
    <s v="2025-06-13"/>
    <s v="Usman"/>
    <x v="3"/>
    <x v="2"/>
    <n v="4500"/>
    <n v="4"/>
    <n v="0"/>
    <n v="18000"/>
    <s v="Lahore"/>
    <s v="Wallet"/>
  </r>
  <r>
    <n v="1258"/>
    <s v="2025-02-07"/>
    <s v="Noor"/>
    <x v="2"/>
    <x v="0"/>
    <n v="2200"/>
    <n v="3"/>
    <n v="0.2"/>
    <n v="5280"/>
    <s v="Islamabad"/>
    <s v="Card"/>
  </r>
  <r>
    <n v="1259"/>
    <s v="2025-05-09"/>
    <s v="Ali"/>
    <x v="0"/>
    <x v="0"/>
    <n v="1200"/>
    <n v="1"/>
    <n v="0.1"/>
    <n v="1080"/>
    <s v="Lahore"/>
    <s v="Wallet"/>
  </r>
  <r>
    <n v="1260"/>
    <s v="2025-05-10"/>
    <s v="Hina"/>
    <x v="6"/>
    <x v="3"/>
    <n v="900"/>
    <n v="1"/>
    <n v="0.2"/>
    <n v="720"/>
    <s v="Multan"/>
    <s v="COD"/>
  </r>
  <r>
    <n v="1261"/>
    <s v="2025-02-14"/>
    <s v="Noor"/>
    <x v="4"/>
    <x v="0"/>
    <n v="2800"/>
    <n v="2"/>
    <n v="0.2"/>
    <n v="4480"/>
    <s v="Lahore"/>
    <s v="Wallet"/>
  </r>
  <r>
    <n v="1262"/>
    <s v="2025-02-15"/>
    <s v="Noor"/>
    <x v="3"/>
    <x v="2"/>
    <n v="4500"/>
    <n v="3"/>
    <n v="0.15"/>
    <n v="11475"/>
    <s v="Karachi"/>
    <s v="COD"/>
  </r>
  <r>
    <n v="1263"/>
    <s v="2025-05-07"/>
    <s v="Bilal"/>
    <x v="2"/>
    <x v="0"/>
    <n v="2200"/>
    <n v="4"/>
    <n v="0.05"/>
    <n v="8360"/>
    <s v="Faisalabad"/>
    <s v="Card"/>
  </r>
  <r>
    <n v="1264"/>
    <s v="2025-05-19"/>
    <s v="Usman"/>
    <x v="3"/>
    <x v="2"/>
    <n v="4500"/>
    <n v="4"/>
    <n v="0.15"/>
    <n v="15300"/>
    <s v="Multan"/>
    <s v="COD"/>
  </r>
  <r>
    <n v="1265"/>
    <s v="2025-04-10"/>
    <s v="Ahmed"/>
    <x v="2"/>
    <x v="0"/>
    <n v="2200"/>
    <n v="2"/>
    <n v="0.15"/>
    <n v="3740"/>
    <s v="Lahore"/>
    <s v="COD"/>
  </r>
  <r>
    <n v="1266"/>
    <s v="2025-01-29"/>
    <s v="Usman"/>
    <x v="5"/>
    <x v="0"/>
    <n v="5000"/>
    <n v="3"/>
    <n v="0.2"/>
    <n v="12000"/>
    <s v="Lahore"/>
    <s v="Card"/>
  </r>
  <r>
    <n v="1267"/>
    <s v="2025-03-20"/>
    <s v="Noor"/>
    <x v="3"/>
    <x v="2"/>
    <n v="4500"/>
    <n v="4"/>
    <n v="0.1"/>
    <n v="16200"/>
    <s v="Karachi"/>
    <s v="Card"/>
  </r>
  <r>
    <n v="1268"/>
    <s v="2025-05-18"/>
    <s v="Fatima"/>
    <x v="2"/>
    <x v="0"/>
    <n v="2200"/>
    <n v="5"/>
    <n v="0"/>
    <n v="11000"/>
    <s v="Lahore"/>
    <s v="Card"/>
  </r>
  <r>
    <n v="1269"/>
    <s v="2025-05-18"/>
    <s v="Fatima"/>
    <x v="1"/>
    <x v="1"/>
    <n v="3500"/>
    <n v="4"/>
    <n v="0.1"/>
    <n v="12600"/>
    <s v="Karachi"/>
    <s v="Wallet"/>
  </r>
  <r>
    <n v="1270"/>
    <s v="2025-04-15"/>
    <s v="Sara"/>
    <x v="3"/>
    <x v="2"/>
    <n v="4500"/>
    <n v="4"/>
    <n v="0.05"/>
    <n v="17100"/>
    <s v="Multan"/>
    <s v="Card"/>
  </r>
  <r>
    <n v="1271"/>
    <s v="2025-03-11"/>
    <s v="Zain"/>
    <x v="6"/>
    <x v="3"/>
    <n v="900"/>
    <n v="3"/>
    <n v="0.15"/>
    <n v="2295"/>
    <s v="Multan"/>
    <s v="Card"/>
  </r>
  <r>
    <n v="1272"/>
    <s v="2025-05-14"/>
    <s v="Ali"/>
    <x v="4"/>
    <x v="0"/>
    <n v="2800"/>
    <n v="5"/>
    <n v="0.05"/>
    <n v="13300"/>
    <s v="Faisalabad"/>
    <s v="Card"/>
  </r>
  <r>
    <n v="1273"/>
    <s v="2025-06-30"/>
    <s v="Sara"/>
    <x v="5"/>
    <x v="0"/>
    <n v="5000"/>
    <n v="5"/>
    <n v="0.2"/>
    <n v="20000"/>
    <s v="Karachi"/>
    <s v="COD"/>
  </r>
  <r>
    <n v="1274"/>
    <s v="2025-04-11"/>
    <s v="Noor"/>
    <x v="3"/>
    <x v="2"/>
    <n v="4500"/>
    <n v="5"/>
    <n v="0.05"/>
    <n v="21375"/>
    <s v="Faisalabad"/>
    <s v="Wallet"/>
  </r>
  <r>
    <n v="1275"/>
    <s v="2025-03-13"/>
    <s v="Ahmed"/>
    <x v="3"/>
    <x v="2"/>
    <n v="4500"/>
    <n v="5"/>
    <n v="0.15"/>
    <n v="19125"/>
    <s v="Multan"/>
    <s v="COD"/>
  </r>
  <r>
    <n v="1276"/>
    <s v="2025-01-29"/>
    <s v="Bilal"/>
    <x v="5"/>
    <x v="0"/>
    <n v="5000"/>
    <n v="1"/>
    <n v="0"/>
    <n v="5000"/>
    <s v="Karachi"/>
    <s v="COD"/>
  </r>
  <r>
    <n v="1277"/>
    <s v="2025-05-12"/>
    <s v="Ahmed"/>
    <x v="2"/>
    <x v="0"/>
    <n v="2200"/>
    <n v="3"/>
    <n v="0.1"/>
    <n v="5940"/>
    <s v="Lahore"/>
    <s v="Card"/>
  </r>
  <r>
    <n v="1278"/>
    <s v="2025-03-05"/>
    <s v="Noor"/>
    <x v="1"/>
    <x v="1"/>
    <n v="3500"/>
    <n v="5"/>
    <n v="0.1"/>
    <n v="15750"/>
    <s v="Multan"/>
    <s v="Wallet"/>
  </r>
  <r>
    <n v="1279"/>
    <s v="2025-03-07"/>
    <s v="Sara"/>
    <x v="5"/>
    <x v="0"/>
    <n v="5000"/>
    <n v="5"/>
    <n v="0"/>
    <n v="25000"/>
    <s v="Multan"/>
    <s v="Wallet"/>
  </r>
  <r>
    <n v="1280"/>
    <s v="2025-05-22"/>
    <s v="Bilal"/>
    <x v="4"/>
    <x v="0"/>
    <n v="2800"/>
    <n v="5"/>
    <n v="0.15"/>
    <n v="11900"/>
    <s v="Multan"/>
    <s v="Card"/>
  </r>
  <r>
    <n v="1281"/>
    <s v="2025-01-07"/>
    <s v="Ali"/>
    <x v="5"/>
    <x v="0"/>
    <n v="5000"/>
    <n v="1"/>
    <n v="0.1"/>
    <n v="4500"/>
    <s v="Karachi"/>
    <s v="Wallet"/>
  </r>
  <r>
    <n v="1282"/>
    <s v="2025-06-02"/>
    <s v="Hina"/>
    <x v="0"/>
    <x v="0"/>
    <n v="1200"/>
    <n v="3"/>
    <n v="0.1"/>
    <n v="3240"/>
    <s v="Multan"/>
    <s v="COD"/>
  </r>
  <r>
    <n v="1283"/>
    <s v="2025-04-05"/>
    <s v="Sara"/>
    <x v="3"/>
    <x v="2"/>
    <n v="4500"/>
    <n v="4"/>
    <n v="0.05"/>
    <n v="17100"/>
    <s v="Faisalabad"/>
    <s v="Wallet"/>
  </r>
  <r>
    <n v="1284"/>
    <s v="2025-01-18"/>
    <s v="Ali"/>
    <x v="4"/>
    <x v="0"/>
    <n v="2800"/>
    <n v="3"/>
    <n v="0"/>
    <n v="8400"/>
    <s v="Karachi"/>
    <s v="Wallet"/>
  </r>
  <r>
    <n v="1285"/>
    <s v="2025-04-10"/>
    <s v="Noor"/>
    <x v="4"/>
    <x v="0"/>
    <n v="2800"/>
    <n v="2"/>
    <n v="0.2"/>
    <n v="4480"/>
    <s v="Faisalabad"/>
    <s v="COD"/>
  </r>
  <r>
    <n v="1286"/>
    <s v="2025-05-25"/>
    <s v="Hina"/>
    <x v="1"/>
    <x v="1"/>
    <n v="3500"/>
    <n v="4"/>
    <n v="0"/>
    <n v="14000"/>
    <s v="Multan"/>
    <s v="Wallet"/>
  </r>
  <r>
    <n v="1287"/>
    <s v="2025-02-05"/>
    <s v="Sara"/>
    <x v="6"/>
    <x v="3"/>
    <n v="900"/>
    <n v="4"/>
    <n v="0.1"/>
    <n v="3240"/>
    <s v="Multan"/>
    <s v="Card"/>
  </r>
  <r>
    <n v="1288"/>
    <s v="2025-05-23"/>
    <s v="Hina"/>
    <x v="5"/>
    <x v="0"/>
    <n v="5000"/>
    <n v="5"/>
    <n v="0.1"/>
    <n v="22500"/>
    <s v="Multan"/>
    <s v="Wallet"/>
  </r>
  <r>
    <n v="1289"/>
    <s v="2025-04-23"/>
    <s v="Usman"/>
    <x v="1"/>
    <x v="1"/>
    <n v="3500"/>
    <n v="3"/>
    <n v="0.2"/>
    <n v="8400"/>
    <s v="Faisalabad"/>
    <s v="COD"/>
  </r>
  <r>
    <n v="1290"/>
    <s v="2025-01-29"/>
    <s v="Ahmed"/>
    <x v="1"/>
    <x v="1"/>
    <n v="3500"/>
    <n v="4"/>
    <n v="0.15"/>
    <n v="11900"/>
    <s v="Multan"/>
    <s v="COD"/>
  </r>
  <r>
    <n v="1291"/>
    <s v="2025-01-22"/>
    <s v="Bilal"/>
    <x v="3"/>
    <x v="2"/>
    <n v="4500"/>
    <n v="5"/>
    <n v="0.05"/>
    <n v="21375"/>
    <s v="Multan"/>
    <s v="COD"/>
  </r>
  <r>
    <n v="1292"/>
    <s v="2025-01-30"/>
    <s v="Usman"/>
    <x v="3"/>
    <x v="2"/>
    <n v="4500"/>
    <n v="2"/>
    <n v="0.2"/>
    <n v="7200"/>
    <s v="Faisalabad"/>
    <s v="COD"/>
  </r>
  <r>
    <n v="1293"/>
    <s v="2025-05-24"/>
    <s v="Noor"/>
    <x v="0"/>
    <x v="0"/>
    <n v="1200"/>
    <n v="2"/>
    <n v="0"/>
    <n v="2400"/>
    <s v="Faisalabad"/>
    <s v="Wallet"/>
  </r>
  <r>
    <n v="1294"/>
    <s v="2025-04-15"/>
    <s v="Ali"/>
    <x v="0"/>
    <x v="0"/>
    <n v="1200"/>
    <n v="3"/>
    <n v="0.2"/>
    <n v="2880"/>
    <s v="Karachi"/>
    <s v="Card"/>
  </r>
  <r>
    <n v="1295"/>
    <s v="2025-01-14"/>
    <s v="Zain"/>
    <x v="2"/>
    <x v="0"/>
    <n v="2200"/>
    <n v="2"/>
    <n v="0.1"/>
    <n v="3960"/>
    <s v="Lahore"/>
    <s v="Card"/>
  </r>
  <r>
    <n v="1296"/>
    <s v="2025-02-07"/>
    <s v="Noor"/>
    <x v="3"/>
    <x v="2"/>
    <n v="4500"/>
    <n v="5"/>
    <n v="0.15"/>
    <n v="19125"/>
    <s v="Faisalabad"/>
    <s v="COD"/>
  </r>
  <r>
    <n v="1297"/>
    <s v="2025-05-06"/>
    <s v="Hina"/>
    <x v="3"/>
    <x v="2"/>
    <n v="4500"/>
    <n v="2"/>
    <n v="0"/>
    <n v="9000"/>
    <s v="Faisalabad"/>
    <s v="Wallet"/>
  </r>
  <r>
    <n v="1298"/>
    <s v="2025-06-22"/>
    <s v="Noor"/>
    <x v="6"/>
    <x v="3"/>
    <n v="900"/>
    <n v="5"/>
    <n v="0.15"/>
    <n v="3825"/>
    <s v="Lahore"/>
    <s v="COD"/>
  </r>
  <r>
    <n v="1299"/>
    <s v="2025-04-21"/>
    <s v="Noor"/>
    <x v="6"/>
    <x v="3"/>
    <n v="900"/>
    <n v="1"/>
    <n v="0.05"/>
    <n v="855"/>
    <s v="Multan"/>
    <s v="COD"/>
  </r>
  <r>
    <n v="1300"/>
    <s v="2025-05-20"/>
    <s v="Ali"/>
    <x v="3"/>
    <x v="2"/>
    <n v="4500"/>
    <n v="5"/>
    <n v="0"/>
    <n v="22500"/>
    <s v="Islamabad"/>
    <s v="Car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3E2C6F-94C3-40ED-B8B0-9DFBB5FC0253}"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roduct">
  <location ref="G11:H19" firstHeaderRow="1" firstDataRow="1" firstDataCol="1"/>
  <pivotFields count="11">
    <pivotField dataField="1" showAll="0"/>
    <pivotField showAll="0"/>
    <pivotField showAll="0"/>
    <pivotField axis="axisRow" showAll="0">
      <items count="8">
        <item x="4"/>
        <item x="1"/>
        <item x="6"/>
        <item x="5"/>
        <item x="2"/>
        <item x="3"/>
        <item x="0"/>
        <item t="default"/>
      </items>
    </pivotField>
    <pivotField showAll="0">
      <items count="5">
        <item x="1"/>
        <item x="0"/>
        <item x="2"/>
        <item x="3"/>
        <item t="default"/>
      </items>
    </pivotField>
    <pivotField numFmtId="164" showAll="0"/>
    <pivotField showAll="0"/>
    <pivotField showAll="0"/>
    <pivotField numFmtId="164" showAll="0"/>
    <pivotField showAll="0"/>
    <pivotField showAll="0"/>
  </pivotFields>
  <rowFields count="1">
    <field x="3"/>
  </rowFields>
  <rowItems count="8">
    <i>
      <x/>
    </i>
    <i>
      <x v="1"/>
    </i>
    <i>
      <x v="2"/>
    </i>
    <i>
      <x v="3"/>
    </i>
    <i>
      <x v="4"/>
    </i>
    <i>
      <x v="5"/>
    </i>
    <i>
      <x v="6"/>
    </i>
    <i t="grand">
      <x/>
    </i>
  </rowItems>
  <colItems count="1">
    <i/>
  </colItems>
  <dataFields count="1">
    <dataField name="Count of Order_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51B2A7-7093-4C18-BDB5-DF211FEFB7DC}"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roduct">
  <location ref="A18:B26" firstHeaderRow="1" firstDataRow="1" firstDataCol="1"/>
  <pivotFields count="11">
    <pivotField showAll="0"/>
    <pivotField showAll="0"/>
    <pivotField showAll="0"/>
    <pivotField axis="axisRow" showAll="0">
      <items count="8">
        <item x="4"/>
        <item x="1"/>
        <item x="6"/>
        <item x="5"/>
        <item x="2"/>
        <item x="3"/>
        <item x="0"/>
        <item t="default"/>
      </items>
    </pivotField>
    <pivotField showAll="0">
      <items count="5">
        <item x="1"/>
        <item x="0"/>
        <item x="2"/>
        <item x="3"/>
        <item t="default"/>
      </items>
    </pivotField>
    <pivotField numFmtId="164" showAll="0"/>
    <pivotField dataField="1" showAll="0"/>
    <pivotField showAll="0"/>
    <pivotField numFmtId="164" showAll="0"/>
    <pivotField showAll="0"/>
    <pivotField showAll="0"/>
  </pivotFields>
  <rowFields count="1">
    <field x="3"/>
  </rowFields>
  <rowItems count="8">
    <i>
      <x/>
    </i>
    <i>
      <x v="1"/>
    </i>
    <i>
      <x v="2"/>
    </i>
    <i>
      <x v="3"/>
    </i>
    <i>
      <x v="4"/>
    </i>
    <i>
      <x v="5"/>
    </i>
    <i>
      <x v="6"/>
    </i>
    <i t="grand">
      <x/>
    </i>
  </rowItems>
  <colItems count="1">
    <i/>
  </colItems>
  <dataFields count="1">
    <dataField name="Sum of Quantity" fld="6"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7F39B6-466E-4BD8-A370-3A0C017D0FA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roduct">
  <location ref="D11:E19" firstHeaderRow="1" firstDataRow="1" firstDataCol="1"/>
  <pivotFields count="11">
    <pivotField showAll="0"/>
    <pivotField showAll="0"/>
    <pivotField showAll="0"/>
    <pivotField axis="axisRow" showAll="0">
      <items count="8">
        <item x="4"/>
        <item x="1"/>
        <item x="6"/>
        <item x="5"/>
        <item x="2"/>
        <item x="3"/>
        <item x="0"/>
        <item t="default"/>
      </items>
    </pivotField>
    <pivotField showAll="0">
      <items count="5">
        <item x="1"/>
        <item x="0"/>
        <item x="2"/>
        <item x="3"/>
        <item t="default"/>
      </items>
    </pivotField>
    <pivotField numFmtId="164" showAll="0"/>
    <pivotField showAll="0"/>
    <pivotField showAll="0"/>
    <pivotField dataField="1" numFmtId="164" showAll="0"/>
    <pivotField showAll="0">
      <items count="6">
        <item x="2"/>
        <item x="3"/>
        <item x="0"/>
        <item x="4"/>
        <item x="1"/>
        <item t="default"/>
      </items>
    </pivotField>
    <pivotField showAll="0">
      <items count="4">
        <item x="1"/>
        <item x="2"/>
        <item x="0"/>
        <item t="default"/>
      </items>
    </pivotField>
  </pivotFields>
  <rowFields count="1">
    <field x="3"/>
  </rowFields>
  <rowItems count="8">
    <i>
      <x/>
    </i>
    <i>
      <x v="1"/>
    </i>
    <i>
      <x v="2"/>
    </i>
    <i>
      <x v="3"/>
    </i>
    <i>
      <x v="4"/>
    </i>
    <i>
      <x v="5"/>
    </i>
    <i>
      <x v="6"/>
    </i>
    <i t="grand">
      <x/>
    </i>
  </rowItems>
  <colItems count="1">
    <i/>
  </colItems>
  <dataFields count="1">
    <dataField name="Sum of Total" fld="8" baseField="3" baseItem="0"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92FE0F-C746-4BE5-95C6-7E401582338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ayment">
  <location ref="A11:B15" firstHeaderRow="1" firstDataRow="1" firstDataCol="1"/>
  <pivotFields count="11">
    <pivotField showAll="0"/>
    <pivotField showAll="0"/>
    <pivotField showAll="0"/>
    <pivotField showAll="0">
      <items count="8">
        <item x="4"/>
        <item x="1"/>
        <item x="6"/>
        <item x="5"/>
        <item x="2"/>
        <item x="3"/>
        <item x="0"/>
        <item t="default"/>
      </items>
    </pivotField>
    <pivotField showAll="0">
      <items count="5">
        <item x="1"/>
        <item x="0"/>
        <item x="2"/>
        <item x="3"/>
        <item t="default"/>
      </items>
    </pivotField>
    <pivotField numFmtId="164" showAll="0"/>
    <pivotField showAll="0"/>
    <pivotField showAll="0"/>
    <pivotField dataField="1" numFmtId="164" showAll="0"/>
    <pivotField showAll="0">
      <items count="6">
        <item x="2"/>
        <item x="3"/>
        <item x="0"/>
        <item x="4"/>
        <item x="1"/>
        <item t="default"/>
      </items>
    </pivotField>
    <pivotField axis="axisRow" showAll="0">
      <items count="4">
        <item x="1"/>
        <item x="2"/>
        <item x="0"/>
        <item t="default"/>
      </items>
    </pivotField>
  </pivotFields>
  <rowFields count="1">
    <field x="10"/>
  </rowFields>
  <rowItems count="4">
    <i>
      <x/>
    </i>
    <i>
      <x v="1"/>
    </i>
    <i>
      <x v="2"/>
    </i>
    <i t="grand">
      <x/>
    </i>
  </rowItems>
  <colItems count="1">
    <i/>
  </colItems>
  <dataFields count="1">
    <dataField name="Sum of Total" fld="8" baseField="0" baseItem="0" numFmtId="164"/>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0" count="1" selected="0">
            <x v="0"/>
          </reference>
        </references>
      </pivotArea>
    </chartFormat>
    <chartFormat chart="2" format="7">
      <pivotArea type="data" outline="0" fieldPosition="0">
        <references count="2">
          <reference field="4294967294" count="1" selected="0">
            <x v="0"/>
          </reference>
          <reference field="10" count="1" selected="0">
            <x v="1"/>
          </reference>
        </references>
      </pivotArea>
    </chartFormat>
    <chartFormat chart="2" format="8">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1EEB310-4DDF-4130-A14B-CC025C34E65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ategory">
  <location ref="D3:E8" firstHeaderRow="1" firstDataRow="1" firstDataCol="1"/>
  <pivotFields count="11">
    <pivotField showAll="0"/>
    <pivotField showAll="0"/>
    <pivotField showAll="0"/>
    <pivotField showAll="0">
      <items count="8">
        <item x="4"/>
        <item x="1"/>
        <item x="6"/>
        <item x="5"/>
        <item x="2"/>
        <item x="3"/>
        <item x="0"/>
        <item t="default"/>
      </items>
    </pivotField>
    <pivotField axis="axisRow" showAll="0">
      <items count="5">
        <item x="1"/>
        <item x="0"/>
        <item x="2"/>
        <item x="3"/>
        <item t="default"/>
      </items>
    </pivotField>
    <pivotField numFmtId="164" showAll="0"/>
    <pivotField showAll="0"/>
    <pivotField showAll="0"/>
    <pivotField dataField="1" numFmtId="164" showAll="0"/>
    <pivotField showAll="0">
      <items count="6">
        <item x="2"/>
        <item x="3"/>
        <item x="0"/>
        <item x="4"/>
        <item x="1"/>
        <item t="default"/>
      </items>
    </pivotField>
    <pivotField showAll="0">
      <items count="4">
        <item x="1"/>
        <item x="2"/>
        <item x="0"/>
        <item t="default"/>
      </items>
    </pivotField>
  </pivotFields>
  <rowFields count="1">
    <field x="4"/>
  </rowFields>
  <rowItems count="5">
    <i>
      <x/>
    </i>
    <i>
      <x v="1"/>
    </i>
    <i>
      <x v="2"/>
    </i>
    <i>
      <x v="3"/>
    </i>
    <i t="grand">
      <x/>
    </i>
  </rowItems>
  <colItems count="1">
    <i/>
  </colItems>
  <dataFields count="1">
    <dataField name="Sum of Total" fld="8" baseField="0" baseItem="0" numFmtId="164"/>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4" count="1" selected="0">
            <x v="0"/>
          </reference>
        </references>
      </pivotArea>
    </chartFormat>
    <chartFormat chart="2" format="8">
      <pivotArea type="data" outline="0" fieldPosition="0">
        <references count="2">
          <reference field="4294967294" count="1" selected="0">
            <x v="0"/>
          </reference>
          <reference field="4" count="1" selected="0">
            <x v="1"/>
          </reference>
        </references>
      </pivotArea>
    </chartFormat>
    <chartFormat chart="2" format="9">
      <pivotArea type="data" outline="0" fieldPosition="0">
        <references count="2">
          <reference field="4294967294" count="1" selected="0">
            <x v="0"/>
          </reference>
          <reference field="4" count="1" selected="0">
            <x v="2"/>
          </reference>
        </references>
      </pivotArea>
    </chartFormat>
    <chartFormat chart="2"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6196FD3-A628-4435-A33C-EAA2403F3E8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ity">
  <location ref="A3:B9" firstHeaderRow="1" firstDataRow="1" firstDataCol="1"/>
  <pivotFields count="11">
    <pivotField showAll="0"/>
    <pivotField showAll="0"/>
    <pivotField showAll="0"/>
    <pivotField showAll="0">
      <items count="8">
        <item x="4"/>
        <item x="1"/>
        <item x="6"/>
        <item x="5"/>
        <item x="2"/>
        <item x="3"/>
        <item x="0"/>
        <item t="default"/>
      </items>
    </pivotField>
    <pivotField showAll="0">
      <items count="5">
        <item x="1"/>
        <item x="0"/>
        <item x="2"/>
        <item x="3"/>
        <item t="default"/>
      </items>
    </pivotField>
    <pivotField numFmtId="164" showAll="0"/>
    <pivotField showAll="0"/>
    <pivotField showAll="0"/>
    <pivotField dataField="1" numFmtId="164" showAll="0"/>
    <pivotField axis="axisRow" showAll="0">
      <items count="6">
        <item x="2"/>
        <item x="3"/>
        <item x="0"/>
        <item x="4"/>
        <item x="1"/>
        <item t="default"/>
      </items>
    </pivotField>
    <pivotField showAll="0">
      <items count="4">
        <item x="1"/>
        <item x="2"/>
        <item x="0"/>
        <item t="default"/>
      </items>
    </pivotField>
  </pivotFields>
  <rowFields count="1">
    <field x="9"/>
  </rowFields>
  <rowItems count="6">
    <i>
      <x/>
    </i>
    <i>
      <x v="1"/>
    </i>
    <i>
      <x v="2"/>
    </i>
    <i>
      <x v="3"/>
    </i>
    <i>
      <x v="4"/>
    </i>
    <i t="grand">
      <x/>
    </i>
  </rowItems>
  <colItems count="1">
    <i/>
  </colItems>
  <dataFields count="1">
    <dataField name="Sum of Total" fld="8" baseField="0" baseItem="0"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E5235465-F642-4FBA-85E7-2EEAAABBABC6}" sourceName="City">
  <pivotTables>
    <pivotTable tabId="4" name="PivotTable2"/>
    <pivotTable tabId="4" name="PivotTable3"/>
    <pivotTable tabId="4" name="PivotTable4"/>
    <pivotTable tabId="4" name="PivotTable5"/>
  </pivotTables>
  <data>
    <tabular pivotCacheId="1762775730">
      <items count="5">
        <i x="2" s="1"/>
        <i x="3" s="1"/>
        <i x="0"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0D950A8D-2AEB-4062-B836-D836BB1D4970}" sourceName="Payment">
  <pivotTables>
    <pivotTable tabId="4" name="PivotTable2"/>
    <pivotTable tabId="4" name="PivotTable3"/>
    <pivotTable tabId="4" name="PivotTable4"/>
    <pivotTable tabId="4" name="PivotTable5"/>
  </pivotTables>
  <data>
    <tabular pivotCacheId="1762775730">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BDB7083-8FD9-44A4-AFD7-8AF9AB29C8E6}" sourceName="Category">
  <pivotTables>
    <pivotTable tabId="4" name="PivotTable3"/>
    <pivotTable tabId="4" name="PivotTable2"/>
    <pivotTable tabId="4" name="PivotTable4"/>
    <pivotTable tabId="4" name="PivotTable5"/>
  </pivotTables>
  <data>
    <tabular pivotCacheId="1762775730">
      <items count="4">
        <i x="1" s="1"/>
        <i x="0"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52F0B59-EE48-4588-A780-11EA48395C45}" sourceName="Product">
  <pivotTables>
    <pivotTable tabId="4" name="PivotTable5"/>
    <pivotTable tabId="4" name="PivotTable2"/>
    <pivotTable tabId="4" name="PivotTable3"/>
    <pivotTable tabId="4" name="PivotTable4"/>
  </pivotTables>
  <data>
    <tabular pivotCacheId="1762775730">
      <items count="7">
        <i x="4" s="1"/>
        <i x="1" s="1"/>
        <i x="6" s="1"/>
        <i x="5"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563F8C48-C323-48BA-9850-AFDFA7D39606}" cache="Slicer_City" caption="City" style="SlicerStyleOther1" rowHeight="241300"/>
  <slicer name="Payment" xr10:uid="{DFD15279-B4FD-4F6B-B130-159CDDB02EB1}" cache="Slicer_Payment" caption="Payment" style="SlicerStyleOther1" rowHeight="241300"/>
  <slicer name="Category" xr10:uid="{EA7D3AE3-161E-4C42-8BBB-E6C9E08102A6}" cache="Slicer_Category" caption="Category" style="SlicerStyleOther1" rowHeight="241300"/>
  <slicer name="Product" xr10:uid="{D6AADE83-A7C1-4A52-B9B3-3337392C1437}" cache="Slicer_Product" caption="Product" style="SlicerStyleOther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01"/>
  <sheetViews>
    <sheetView zoomScaleNormal="100" workbookViewId="0">
      <selection activeCell="N11" sqref="N11"/>
    </sheetView>
  </sheetViews>
  <sheetFormatPr defaultRowHeight="14.5" x14ac:dyDescent="0.35"/>
  <cols>
    <col min="1" max="1" width="10.54296875" style="1" bestFit="1" customWidth="1"/>
    <col min="2" max="2" width="10.08984375" bestFit="1" customWidth="1"/>
    <col min="3" max="3" width="11.6328125" style="1" bestFit="1" customWidth="1"/>
    <col min="4" max="4" width="9.7265625" style="1" bestFit="1" customWidth="1"/>
    <col min="5" max="5" width="11" style="1" bestFit="1" customWidth="1"/>
    <col min="6" max="6" width="8.7265625" style="7"/>
    <col min="7" max="7" width="10.36328125" style="1" bestFit="1" customWidth="1"/>
    <col min="8" max="8" width="20.6328125" style="2" bestFit="1" customWidth="1"/>
    <col min="9" max="9" width="9.90625" style="7" customWidth="1"/>
    <col min="10" max="10" width="9.6328125" style="1" bestFit="1" customWidth="1"/>
    <col min="11" max="11" width="10.6328125" style="1" bestFit="1" customWidth="1"/>
  </cols>
  <sheetData>
    <row r="1" spans="1:11" s="5" customFormat="1" ht="17" x14ac:dyDescent="0.5">
      <c r="A1" s="3" t="s">
        <v>0</v>
      </c>
      <c r="B1" s="3" t="s">
        <v>1</v>
      </c>
      <c r="C1" s="3" t="s">
        <v>2</v>
      </c>
      <c r="D1" s="3" t="s">
        <v>3</v>
      </c>
      <c r="E1" s="3" t="s">
        <v>4</v>
      </c>
      <c r="F1" s="6" t="s">
        <v>5</v>
      </c>
      <c r="G1" s="3" t="s">
        <v>6</v>
      </c>
      <c r="H1" s="4" t="s">
        <v>7</v>
      </c>
      <c r="I1" s="6" t="s">
        <v>8</v>
      </c>
      <c r="J1" s="3" t="s">
        <v>9</v>
      </c>
      <c r="K1" s="3" t="s">
        <v>10</v>
      </c>
    </row>
    <row r="2" spans="1:11" x14ac:dyDescent="0.35">
      <c r="A2" s="1">
        <v>1001</v>
      </c>
      <c r="B2" t="s">
        <v>11</v>
      </c>
      <c r="C2" s="1" t="s">
        <v>12</v>
      </c>
      <c r="D2" s="1" t="s">
        <v>13</v>
      </c>
      <c r="E2" s="1" t="s">
        <v>14</v>
      </c>
      <c r="F2" s="11">
        <v>1200</v>
      </c>
      <c r="G2" s="1">
        <v>2</v>
      </c>
      <c r="H2" s="1">
        <v>0.05</v>
      </c>
      <c r="I2" s="7">
        <f>(F2*G2)*(1-H2)</f>
        <v>2280</v>
      </c>
      <c r="J2" s="1" t="s">
        <v>15</v>
      </c>
      <c r="K2" s="1" t="s">
        <v>16</v>
      </c>
    </row>
    <row r="3" spans="1:11" x14ac:dyDescent="0.35">
      <c r="A3" s="1">
        <v>1002</v>
      </c>
      <c r="B3" t="s">
        <v>17</v>
      </c>
      <c r="C3" s="1" t="s">
        <v>12</v>
      </c>
      <c r="D3" s="1" t="s">
        <v>13</v>
      </c>
      <c r="E3" s="1" t="s">
        <v>14</v>
      </c>
      <c r="F3" s="11">
        <v>1200</v>
      </c>
      <c r="G3" s="1">
        <v>2</v>
      </c>
      <c r="H3" s="1">
        <v>0.15</v>
      </c>
      <c r="I3" s="7">
        <f t="shared" ref="I3:I66" si="0">(F3*G3)*(1-H3)</f>
        <v>2040</v>
      </c>
      <c r="J3" s="1" t="s">
        <v>18</v>
      </c>
      <c r="K3" s="1" t="s">
        <v>19</v>
      </c>
    </row>
    <row r="4" spans="1:11" x14ac:dyDescent="0.35">
      <c r="A4" s="1">
        <v>1003</v>
      </c>
      <c r="B4" t="s">
        <v>20</v>
      </c>
      <c r="C4" s="1" t="s">
        <v>12</v>
      </c>
      <c r="D4" s="1" t="s">
        <v>21</v>
      </c>
      <c r="E4" s="1" t="s">
        <v>22</v>
      </c>
      <c r="F4" s="11">
        <v>3500</v>
      </c>
      <c r="G4" s="1">
        <v>4</v>
      </c>
      <c r="H4" s="1">
        <v>0.1</v>
      </c>
      <c r="I4" s="7">
        <f t="shared" si="0"/>
        <v>12600</v>
      </c>
      <c r="J4" s="1" t="s">
        <v>18</v>
      </c>
      <c r="K4" s="1" t="s">
        <v>16</v>
      </c>
    </row>
    <row r="5" spans="1:11" x14ac:dyDescent="0.35">
      <c r="A5" s="1">
        <v>1004</v>
      </c>
      <c r="B5" t="s">
        <v>23</v>
      </c>
      <c r="C5" s="1" t="s">
        <v>24</v>
      </c>
      <c r="D5" s="1" t="s">
        <v>25</v>
      </c>
      <c r="E5" s="1" t="s">
        <v>14</v>
      </c>
      <c r="F5" s="11">
        <v>2200</v>
      </c>
      <c r="G5" s="1">
        <v>5</v>
      </c>
      <c r="H5" s="1">
        <v>0.1</v>
      </c>
      <c r="I5" s="7">
        <f t="shared" si="0"/>
        <v>9900</v>
      </c>
      <c r="J5" s="1" t="s">
        <v>26</v>
      </c>
      <c r="K5" s="1" t="s">
        <v>19</v>
      </c>
    </row>
    <row r="6" spans="1:11" x14ac:dyDescent="0.35">
      <c r="A6" s="1">
        <v>1005</v>
      </c>
      <c r="B6" t="s">
        <v>27</v>
      </c>
      <c r="C6" s="1" t="s">
        <v>24</v>
      </c>
      <c r="D6" s="1" t="s">
        <v>28</v>
      </c>
      <c r="E6" s="1" t="s">
        <v>29</v>
      </c>
      <c r="F6" s="11">
        <v>4500</v>
      </c>
      <c r="G6" s="1">
        <v>4</v>
      </c>
      <c r="H6" s="1">
        <v>0.1</v>
      </c>
      <c r="I6" s="7">
        <f t="shared" si="0"/>
        <v>16200</v>
      </c>
      <c r="J6" s="1" t="s">
        <v>30</v>
      </c>
      <c r="K6" s="1" t="s">
        <v>16</v>
      </c>
    </row>
    <row r="7" spans="1:11" x14ac:dyDescent="0.35">
      <c r="A7" s="1">
        <v>1006</v>
      </c>
      <c r="B7" t="s">
        <v>31</v>
      </c>
      <c r="C7" s="1" t="s">
        <v>32</v>
      </c>
      <c r="D7" s="1" t="s">
        <v>33</v>
      </c>
      <c r="E7" s="1" t="s">
        <v>14</v>
      </c>
      <c r="F7" s="11">
        <v>2800</v>
      </c>
      <c r="G7" s="1">
        <v>3</v>
      </c>
      <c r="H7" s="1">
        <v>0.05</v>
      </c>
      <c r="I7" s="7">
        <f t="shared" si="0"/>
        <v>7980</v>
      </c>
      <c r="J7" s="1" t="s">
        <v>30</v>
      </c>
      <c r="K7" s="1" t="s">
        <v>35</v>
      </c>
    </row>
    <row r="8" spans="1:11" x14ac:dyDescent="0.35">
      <c r="A8" s="1">
        <v>1007</v>
      </c>
      <c r="B8" t="s">
        <v>36</v>
      </c>
      <c r="C8" s="1" t="s">
        <v>37</v>
      </c>
      <c r="D8" s="1" t="s">
        <v>38</v>
      </c>
      <c r="E8" s="1" t="s">
        <v>14</v>
      </c>
      <c r="F8" s="11">
        <v>5000</v>
      </c>
      <c r="G8" s="1">
        <v>2</v>
      </c>
      <c r="H8" s="1">
        <v>0.15</v>
      </c>
      <c r="I8" s="7">
        <f t="shared" si="0"/>
        <v>8500</v>
      </c>
      <c r="J8" s="1" t="s">
        <v>15</v>
      </c>
      <c r="K8" s="1" t="s">
        <v>19</v>
      </c>
    </row>
    <row r="9" spans="1:11" x14ac:dyDescent="0.35">
      <c r="A9" s="1">
        <v>1008</v>
      </c>
      <c r="B9" t="s">
        <v>39</v>
      </c>
      <c r="C9" s="1" t="s">
        <v>40</v>
      </c>
      <c r="D9" s="1" t="s">
        <v>38</v>
      </c>
      <c r="E9" s="1" t="s">
        <v>14</v>
      </c>
      <c r="F9" s="11">
        <v>5000</v>
      </c>
      <c r="G9" s="1">
        <v>2</v>
      </c>
      <c r="H9" s="1">
        <v>0.1</v>
      </c>
      <c r="I9" s="7">
        <f t="shared" si="0"/>
        <v>9000</v>
      </c>
      <c r="J9" s="1" t="s">
        <v>30</v>
      </c>
      <c r="K9" s="1" t="s">
        <v>16</v>
      </c>
    </row>
    <row r="10" spans="1:11" x14ac:dyDescent="0.35">
      <c r="A10" s="1">
        <v>1009</v>
      </c>
      <c r="B10" t="s">
        <v>41</v>
      </c>
      <c r="C10" s="1" t="s">
        <v>24</v>
      </c>
      <c r="D10" s="1" t="s">
        <v>38</v>
      </c>
      <c r="E10" s="1" t="s">
        <v>14</v>
      </c>
      <c r="F10" s="11">
        <v>5000</v>
      </c>
      <c r="G10" s="1">
        <v>4</v>
      </c>
      <c r="H10" s="1">
        <v>0</v>
      </c>
      <c r="I10" s="7">
        <f t="shared" si="0"/>
        <v>20000</v>
      </c>
      <c r="J10" s="1" t="s">
        <v>30</v>
      </c>
      <c r="K10" s="1" t="s">
        <v>35</v>
      </c>
    </row>
    <row r="11" spans="1:11" x14ac:dyDescent="0.35">
      <c r="A11" s="1">
        <v>1010</v>
      </c>
      <c r="B11" t="s">
        <v>42</v>
      </c>
      <c r="C11" s="1" t="s">
        <v>43</v>
      </c>
      <c r="D11" s="1" t="s">
        <v>28</v>
      </c>
      <c r="E11" s="1" t="s">
        <v>29</v>
      </c>
      <c r="F11" s="11">
        <v>4500</v>
      </c>
      <c r="G11" s="1">
        <v>3</v>
      </c>
      <c r="H11" s="1">
        <v>0</v>
      </c>
      <c r="I11" s="7">
        <f t="shared" si="0"/>
        <v>13500</v>
      </c>
      <c r="J11" s="1" t="s">
        <v>30</v>
      </c>
      <c r="K11" s="1" t="s">
        <v>35</v>
      </c>
    </row>
    <row r="12" spans="1:11" x14ac:dyDescent="0.35">
      <c r="A12" s="1">
        <v>1011</v>
      </c>
      <c r="B12" t="s">
        <v>44</v>
      </c>
      <c r="C12" s="1" t="s">
        <v>43</v>
      </c>
      <c r="D12" s="1" t="s">
        <v>21</v>
      </c>
      <c r="E12" s="1" t="s">
        <v>22</v>
      </c>
      <c r="F12" s="11">
        <v>3500</v>
      </c>
      <c r="G12" s="1">
        <v>5</v>
      </c>
      <c r="H12" s="1">
        <v>0.15</v>
      </c>
      <c r="I12" s="7">
        <f t="shared" si="0"/>
        <v>14875</v>
      </c>
      <c r="J12" s="1" t="s">
        <v>45</v>
      </c>
      <c r="K12" s="1" t="s">
        <v>16</v>
      </c>
    </row>
    <row r="13" spans="1:11" x14ac:dyDescent="0.35">
      <c r="A13" s="1">
        <v>1012</v>
      </c>
      <c r="B13" t="s">
        <v>46</v>
      </c>
      <c r="C13" s="1" t="s">
        <v>24</v>
      </c>
      <c r="D13" s="1" t="s">
        <v>33</v>
      </c>
      <c r="E13" s="1" t="s">
        <v>14</v>
      </c>
      <c r="F13" s="11">
        <v>2800</v>
      </c>
      <c r="G13" s="1">
        <v>3</v>
      </c>
      <c r="H13" s="1">
        <v>0.1</v>
      </c>
      <c r="I13" s="7">
        <f t="shared" si="0"/>
        <v>7560</v>
      </c>
      <c r="J13" s="1" t="s">
        <v>18</v>
      </c>
      <c r="K13" s="1" t="s">
        <v>35</v>
      </c>
    </row>
    <row r="14" spans="1:11" x14ac:dyDescent="0.35">
      <c r="A14" s="1">
        <v>1013</v>
      </c>
      <c r="B14" t="s">
        <v>47</v>
      </c>
      <c r="C14" s="1" t="s">
        <v>48</v>
      </c>
      <c r="D14" s="1" t="s">
        <v>21</v>
      </c>
      <c r="E14" s="1" t="s">
        <v>22</v>
      </c>
      <c r="F14" s="11">
        <v>3500</v>
      </c>
      <c r="G14" s="1">
        <v>3</v>
      </c>
      <c r="H14" s="1">
        <v>0</v>
      </c>
      <c r="I14" s="7">
        <f t="shared" si="0"/>
        <v>10500</v>
      </c>
      <c r="J14" s="1" t="s">
        <v>18</v>
      </c>
      <c r="K14" s="1" t="s">
        <v>16</v>
      </c>
    </row>
    <row r="15" spans="1:11" x14ac:dyDescent="0.35">
      <c r="A15" s="1">
        <v>1014</v>
      </c>
      <c r="B15" t="s">
        <v>49</v>
      </c>
      <c r="C15" s="1" t="s">
        <v>24</v>
      </c>
      <c r="D15" s="1" t="s">
        <v>21</v>
      </c>
      <c r="E15" s="1" t="s">
        <v>22</v>
      </c>
      <c r="F15" s="11">
        <v>3500</v>
      </c>
      <c r="G15" s="1">
        <v>2</v>
      </c>
      <c r="H15" s="1">
        <v>0.1</v>
      </c>
      <c r="I15" s="7">
        <f t="shared" si="0"/>
        <v>6300</v>
      </c>
      <c r="J15" s="1" t="s">
        <v>45</v>
      </c>
      <c r="K15" s="1" t="s">
        <v>16</v>
      </c>
    </row>
    <row r="16" spans="1:11" x14ac:dyDescent="0.35">
      <c r="A16" s="1">
        <v>1015</v>
      </c>
      <c r="B16" t="s">
        <v>50</v>
      </c>
      <c r="C16" s="1" t="s">
        <v>51</v>
      </c>
      <c r="D16" s="1" t="s">
        <v>13</v>
      </c>
      <c r="E16" s="1" t="s">
        <v>14</v>
      </c>
      <c r="F16" s="11">
        <v>1200</v>
      </c>
      <c r="G16" s="1">
        <v>1</v>
      </c>
      <c r="H16" s="1">
        <v>0.15</v>
      </c>
      <c r="I16" s="7">
        <f t="shared" si="0"/>
        <v>1020</v>
      </c>
      <c r="J16" s="1" t="s">
        <v>26</v>
      </c>
      <c r="K16" s="1" t="s">
        <v>19</v>
      </c>
    </row>
    <row r="17" spans="1:11" x14ac:dyDescent="0.35">
      <c r="A17" s="1">
        <v>1016</v>
      </c>
      <c r="B17" t="s">
        <v>52</v>
      </c>
      <c r="C17" s="1" t="s">
        <v>12</v>
      </c>
      <c r="D17" s="1" t="s">
        <v>13</v>
      </c>
      <c r="E17" s="1" t="s">
        <v>14</v>
      </c>
      <c r="F17" s="11">
        <v>1200</v>
      </c>
      <c r="G17" s="1">
        <v>4</v>
      </c>
      <c r="H17" s="1">
        <v>0.2</v>
      </c>
      <c r="I17" s="7">
        <f t="shared" si="0"/>
        <v>3840</v>
      </c>
      <c r="J17" s="1" t="s">
        <v>15</v>
      </c>
      <c r="K17" s="1" t="s">
        <v>35</v>
      </c>
    </row>
    <row r="18" spans="1:11" x14ac:dyDescent="0.35">
      <c r="A18" s="1">
        <v>1017</v>
      </c>
      <c r="B18" t="s">
        <v>53</v>
      </c>
      <c r="C18" s="1" t="s">
        <v>37</v>
      </c>
      <c r="D18" s="1" t="s">
        <v>21</v>
      </c>
      <c r="E18" s="1" t="s">
        <v>22</v>
      </c>
      <c r="F18" s="11">
        <v>3500</v>
      </c>
      <c r="G18" s="1">
        <v>2</v>
      </c>
      <c r="H18" s="1">
        <v>0.05</v>
      </c>
      <c r="I18" s="7">
        <f t="shared" si="0"/>
        <v>6650</v>
      </c>
      <c r="J18" s="1" t="s">
        <v>30</v>
      </c>
      <c r="K18" s="1" t="s">
        <v>35</v>
      </c>
    </row>
    <row r="19" spans="1:11" x14ac:dyDescent="0.35">
      <c r="A19" s="1">
        <v>1018</v>
      </c>
      <c r="B19" t="s">
        <v>54</v>
      </c>
      <c r="C19" s="1" t="s">
        <v>55</v>
      </c>
      <c r="D19" s="1" t="s">
        <v>56</v>
      </c>
      <c r="E19" s="1" t="s">
        <v>34</v>
      </c>
      <c r="F19" s="11">
        <v>900</v>
      </c>
      <c r="G19" s="1">
        <v>3</v>
      </c>
      <c r="H19" s="1">
        <v>0.2</v>
      </c>
      <c r="I19" s="7">
        <f t="shared" si="0"/>
        <v>2160</v>
      </c>
      <c r="J19" s="1" t="s">
        <v>15</v>
      </c>
      <c r="K19" s="1" t="s">
        <v>19</v>
      </c>
    </row>
    <row r="20" spans="1:11" x14ac:dyDescent="0.35">
      <c r="A20" s="1">
        <v>1019</v>
      </c>
      <c r="B20" t="s">
        <v>57</v>
      </c>
      <c r="C20" s="1" t="s">
        <v>43</v>
      </c>
      <c r="D20" s="1" t="s">
        <v>25</v>
      </c>
      <c r="E20" s="1" t="s">
        <v>14</v>
      </c>
      <c r="F20" s="11">
        <v>2200</v>
      </c>
      <c r="G20" s="1">
        <v>4</v>
      </c>
      <c r="H20" s="1">
        <v>0.15</v>
      </c>
      <c r="I20" s="7">
        <f t="shared" si="0"/>
        <v>7480</v>
      </c>
      <c r="J20" s="1" t="s">
        <v>18</v>
      </c>
      <c r="K20" s="1" t="s">
        <v>16</v>
      </c>
    </row>
    <row r="21" spans="1:11" x14ac:dyDescent="0.35">
      <c r="A21" s="1">
        <v>1020</v>
      </c>
      <c r="B21" t="s">
        <v>58</v>
      </c>
      <c r="C21" s="1" t="s">
        <v>43</v>
      </c>
      <c r="D21" s="1" t="s">
        <v>21</v>
      </c>
      <c r="E21" s="1" t="s">
        <v>22</v>
      </c>
      <c r="F21" s="11">
        <v>3500</v>
      </c>
      <c r="G21" s="1">
        <v>3</v>
      </c>
      <c r="H21" s="1">
        <v>0.2</v>
      </c>
      <c r="I21" s="7">
        <f t="shared" si="0"/>
        <v>8400</v>
      </c>
      <c r="J21" s="1" t="s">
        <v>15</v>
      </c>
      <c r="K21" s="1" t="s">
        <v>16</v>
      </c>
    </row>
    <row r="22" spans="1:11" x14ac:dyDescent="0.35">
      <c r="A22" s="1">
        <v>1021</v>
      </c>
      <c r="B22" t="s">
        <v>59</v>
      </c>
      <c r="C22" s="1" t="s">
        <v>48</v>
      </c>
      <c r="D22" s="1" t="s">
        <v>28</v>
      </c>
      <c r="E22" s="1" t="s">
        <v>29</v>
      </c>
      <c r="F22" s="11">
        <v>4500</v>
      </c>
      <c r="G22" s="1">
        <v>2</v>
      </c>
      <c r="H22" s="1">
        <v>0</v>
      </c>
      <c r="I22" s="7">
        <f t="shared" si="0"/>
        <v>9000</v>
      </c>
      <c r="J22" s="1" t="s">
        <v>30</v>
      </c>
      <c r="K22" s="1" t="s">
        <v>19</v>
      </c>
    </row>
    <row r="23" spans="1:11" x14ac:dyDescent="0.35">
      <c r="A23" s="1">
        <v>1022</v>
      </c>
      <c r="B23" t="s">
        <v>60</v>
      </c>
      <c r="C23" s="1" t="s">
        <v>55</v>
      </c>
      <c r="D23" s="1" t="s">
        <v>25</v>
      </c>
      <c r="E23" s="1" t="s">
        <v>14</v>
      </c>
      <c r="F23" s="11">
        <v>2200</v>
      </c>
      <c r="G23" s="1">
        <v>3</v>
      </c>
      <c r="H23" s="1">
        <v>0.05</v>
      </c>
      <c r="I23" s="7">
        <f t="shared" si="0"/>
        <v>6270</v>
      </c>
      <c r="J23" s="1" t="s">
        <v>15</v>
      </c>
      <c r="K23" s="1" t="s">
        <v>16</v>
      </c>
    </row>
    <row r="24" spans="1:11" x14ac:dyDescent="0.35">
      <c r="A24" s="1">
        <v>1023</v>
      </c>
      <c r="B24" t="s">
        <v>27</v>
      </c>
      <c r="C24" s="1" t="s">
        <v>37</v>
      </c>
      <c r="D24" s="1" t="s">
        <v>38</v>
      </c>
      <c r="E24" s="1" t="s">
        <v>14</v>
      </c>
      <c r="F24" s="11">
        <v>5000</v>
      </c>
      <c r="G24" s="1">
        <v>1</v>
      </c>
      <c r="H24" s="1">
        <v>0.05</v>
      </c>
      <c r="I24" s="7">
        <f t="shared" si="0"/>
        <v>4750</v>
      </c>
      <c r="J24" s="1" t="s">
        <v>45</v>
      </c>
      <c r="K24" s="1" t="s">
        <v>19</v>
      </c>
    </row>
    <row r="25" spans="1:11" x14ac:dyDescent="0.35">
      <c r="A25" s="1">
        <v>1024</v>
      </c>
      <c r="B25" t="s">
        <v>61</v>
      </c>
      <c r="C25" s="1" t="s">
        <v>55</v>
      </c>
      <c r="D25" s="1" t="s">
        <v>13</v>
      </c>
      <c r="E25" s="1" t="s">
        <v>14</v>
      </c>
      <c r="F25" s="11">
        <v>1200</v>
      </c>
      <c r="G25" s="1">
        <v>4</v>
      </c>
      <c r="H25" s="1">
        <v>0.15</v>
      </c>
      <c r="I25" s="7">
        <f t="shared" si="0"/>
        <v>4080</v>
      </c>
      <c r="J25" s="1" t="s">
        <v>26</v>
      </c>
      <c r="K25" s="1" t="s">
        <v>19</v>
      </c>
    </row>
    <row r="26" spans="1:11" x14ac:dyDescent="0.35">
      <c r="A26" s="1">
        <v>1025</v>
      </c>
      <c r="B26" t="s">
        <v>31</v>
      </c>
      <c r="C26" s="1" t="s">
        <v>32</v>
      </c>
      <c r="D26" s="1" t="s">
        <v>56</v>
      </c>
      <c r="E26" s="1" t="s">
        <v>34</v>
      </c>
      <c r="F26" s="11">
        <v>900</v>
      </c>
      <c r="G26" s="1">
        <v>3</v>
      </c>
      <c r="H26" s="1">
        <v>0.15</v>
      </c>
      <c r="I26" s="7">
        <f t="shared" si="0"/>
        <v>2295</v>
      </c>
      <c r="J26" s="1" t="s">
        <v>15</v>
      </c>
      <c r="K26" s="1" t="s">
        <v>19</v>
      </c>
    </row>
    <row r="27" spans="1:11" x14ac:dyDescent="0.35">
      <c r="A27" s="1">
        <v>1026</v>
      </c>
      <c r="B27" t="s">
        <v>62</v>
      </c>
      <c r="C27" s="1" t="s">
        <v>48</v>
      </c>
      <c r="D27" s="1" t="s">
        <v>21</v>
      </c>
      <c r="E27" s="1" t="s">
        <v>22</v>
      </c>
      <c r="F27" s="11">
        <v>3500</v>
      </c>
      <c r="G27" s="1">
        <v>3</v>
      </c>
      <c r="H27" s="1">
        <v>0.1</v>
      </c>
      <c r="I27" s="7">
        <f t="shared" si="0"/>
        <v>9450</v>
      </c>
      <c r="J27" s="1" t="s">
        <v>18</v>
      </c>
      <c r="K27" s="1" t="s">
        <v>19</v>
      </c>
    </row>
    <row r="28" spans="1:11" x14ac:dyDescent="0.35">
      <c r="A28" s="1">
        <v>1027</v>
      </c>
      <c r="B28" t="s">
        <v>63</v>
      </c>
      <c r="C28" s="1" t="s">
        <v>43</v>
      </c>
      <c r="D28" s="1" t="s">
        <v>33</v>
      </c>
      <c r="E28" s="1" t="s">
        <v>14</v>
      </c>
      <c r="F28" s="11">
        <v>2800</v>
      </c>
      <c r="G28" s="1">
        <v>5</v>
      </c>
      <c r="H28" s="1">
        <v>0.15</v>
      </c>
      <c r="I28" s="7">
        <f t="shared" si="0"/>
        <v>11900</v>
      </c>
      <c r="J28" s="1" t="s">
        <v>45</v>
      </c>
      <c r="K28" s="1" t="s">
        <v>19</v>
      </c>
    </row>
    <row r="29" spans="1:11" x14ac:dyDescent="0.35">
      <c r="A29" s="1">
        <v>1028</v>
      </c>
      <c r="B29" t="s">
        <v>64</v>
      </c>
      <c r="C29" s="1" t="s">
        <v>32</v>
      </c>
      <c r="D29" s="1" t="s">
        <v>56</v>
      </c>
      <c r="E29" s="1" t="s">
        <v>34</v>
      </c>
      <c r="F29" s="11">
        <v>900</v>
      </c>
      <c r="G29" s="1">
        <v>3</v>
      </c>
      <c r="H29" s="1">
        <v>0</v>
      </c>
      <c r="I29" s="7">
        <f t="shared" si="0"/>
        <v>2700</v>
      </c>
      <c r="J29" s="1" t="s">
        <v>26</v>
      </c>
      <c r="K29" s="1" t="s">
        <v>19</v>
      </c>
    </row>
    <row r="30" spans="1:11" x14ac:dyDescent="0.35">
      <c r="A30" s="1">
        <v>1029</v>
      </c>
      <c r="B30" t="s">
        <v>65</v>
      </c>
      <c r="C30" s="1" t="s">
        <v>40</v>
      </c>
      <c r="D30" s="1" t="s">
        <v>25</v>
      </c>
      <c r="E30" s="1" t="s">
        <v>14</v>
      </c>
      <c r="F30" s="11">
        <v>2200</v>
      </c>
      <c r="G30" s="1">
        <v>1</v>
      </c>
      <c r="H30" s="1">
        <v>0.05</v>
      </c>
      <c r="I30" s="7">
        <f t="shared" si="0"/>
        <v>2090</v>
      </c>
      <c r="J30" s="1" t="s">
        <v>18</v>
      </c>
      <c r="K30" s="1" t="s">
        <v>19</v>
      </c>
    </row>
    <row r="31" spans="1:11" x14ac:dyDescent="0.35">
      <c r="A31" s="1">
        <v>1030</v>
      </c>
      <c r="B31" t="s">
        <v>53</v>
      </c>
      <c r="C31" s="1" t="s">
        <v>32</v>
      </c>
      <c r="D31" s="1" t="s">
        <v>56</v>
      </c>
      <c r="E31" s="1" t="s">
        <v>34</v>
      </c>
      <c r="F31" s="11">
        <v>900</v>
      </c>
      <c r="G31" s="1">
        <v>5</v>
      </c>
      <c r="H31" s="1">
        <v>0.05</v>
      </c>
      <c r="I31" s="7">
        <f t="shared" si="0"/>
        <v>4275</v>
      </c>
      <c r="J31" s="1" t="s">
        <v>15</v>
      </c>
      <c r="K31" s="1" t="s">
        <v>35</v>
      </c>
    </row>
    <row r="32" spans="1:11" x14ac:dyDescent="0.35">
      <c r="A32" s="1">
        <v>1031</v>
      </c>
      <c r="B32" t="s">
        <v>62</v>
      </c>
      <c r="C32" s="1" t="s">
        <v>43</v>
      </c>
      <c r="D32" s="1" t="s">
        <v>25</v>
      </c>
      <c r="E32" s="1" t="s">
        <v>14</v>
      </c>
      <c r="F32" s="11">
        <v>2200</v>
      </c>
      <c r="G32" s="1">
        <v>3</v>
      </c>
      <c r="H32" s="1">
        <v>0.2</v>
      </c>
      <c r="I32" s="7">
        <f t="shared" si="0"/>
        <v>5280</v>
      </c>
      <c r="J32" s="1" t="s">
        <v>30</v>
      </c>
      <c r="K32" s="1" t="s">
        <v>19</v>
      </c>
    </row>
    <row r="33" spans="1:11" x14ac:dyDescent="0.35">
      <c r="A33" s="1">
        <v>1032</v>
      </c>
      <c r="B33" t="s">
        <v>54</v>
      </c>
      <c r="C33" s="1" t="s">
        <v>51</v>
      </c>
      <c r="D33" s="1" t="s">
        <v>38</v>
      </c>
      <c r="E33" s="1" t="s">
        <v>14</v>
      </c>
      <c r="F33" s="11">
        <v>5000</v>
      </c>
      <c r="G33" s="1">
        <v>3</v>
      </c>
      <c r="H33" s="1">
        <v>0.15</v>
      </c>
      <c r="I33" s="7">
        <f t="shared" si="0"/>
        <v>12750</v>
      </c>
      <c r="J33" s="1" t="s">
        <v>15</v>
      </c>
      <c r="K33" s="1" t="s">
        <v>16</v>
      </c>
    </row>
    <row r="34" spans="1:11" x14ac:dyDescent="0.35">
      <c r="A34" s="1">
        <v>1033</v>
      </c>
      <c r="B34" t="s">
        <v>66</v>
      </c>
      <c r="C34" s="1" t="s">
        <v>67</v>
      </c>
      <c r="D34" s="1" t="s">
        <v>25</v>
      </c>
      <c r="E34" s="1" t="s">
        <v>14</v>
      </c>
      <c r="F34" s="11">
        <v>2200</v>
      </c>
      <c r="G34" s="1">
        <v>1</v>
      </c>
      <c r="H34" s="1">
        <v>0</v>
      </c>
      <c r="I34" s="7">
        <f t="shared" si="0"/>
        <v>2200</v>
      </c>
      <c r="J34" s="1" t="s">
        <v>15</v>
      </c>
      <c r="K34" s="1" t="s">
        <v>19</v>
      </c>
    </row>
    <row r="35" spans="1:11" x14ac:dyDescent="0.35">
      <c r="A35" s="1">
        <v>1034</v>
      </c>
      <c r="B35" t="s">
        <v>68</v>
      </c>
      <c r="C35" s="1" t="s">
        <v>51</v>
      </c>
      <c r="D35" s="1" t="s">
        <v>28</v>
      </c>
      <c r="E35" s="1" t="s">
        <v>29</v>
      </c>
      <c r="F35" s="11">
        <v>4500</v>
      </c>
      <c r="G35" s="1">
        <v>2</v>
      </c>
      <c r="H35" s="1">
        <v>0.2</v>
      </c>
      <c r="I35" s="7">
        <f t="shared" si="0"/>
        <v>7200</v>
      </c>
      <c r="J35" s="1" t="s">
        <v>18</v>
      </c>
      <c r="K35" s="1" t="s">
        <v>16</v>
      </c>
    </row>
    <row r="36" spans="1:11" x14ac:dyDescent="0.35">
      <c r="A36" s="1">
        <v>1035</v>
      </c>
      <c r="B36" t="s">
        <v>69</v>
      </c>
      <c r="C36" s="1" t="s">
        <v>43</v>
      </c>
      <c r="D36" s="1" t="s">
        <v>25</v>
      </c>
      <c r="E36" s="1" t="s">
        <v>14</v>
      </c>
      <c r="F36" s="11">
        <v>2200</v>
      </c>
      <c r="G36" s="1">
        <v>1</v>
      </c>
      <c r="H36" s="1">
        <v>0.1</v>
      </c>
      <c r="I36" s="7">
        <f t="shared" si="0"/>
        <v>1980</v>
      </c>
      <c r="J36" s="1" t="s">
        <v>30</v>
      </c>
      <c r="K36" s="1" t="s">
        <v>19</v>
      </c>
    </row>
    <row r="37" spans="1:11" x14ac:dyDescent="0.35">
      <c r="A37" s="1">
        <v>1036</v>
      </c>
      <c r="B37" t="s">
        <v>70</v>
      </c>
      <c r="C37" s="1" t="s">
        <v>24</v>
      </c>
      <c r="D37" s="1" t="s">
        <v>38</v>
      </c>
      <c r="E37" s="1" t="s">
        <v>14</v>
      </c>
      <c r="F37" s="11">
        <v>5000</v>
      </c>
      <c r="G37" s="1">
        <v>1</v>
      </c>
      <c r="H37" s="1">
        <v>0.05</v>
      </c>
      <c r="I37" s="7">
        <f t="shared" si="0"/>
        <v>4750</v>
      </c>
      <c r="J37" s="1" t="s">
        <v>30</v>
      </c>
      <c r="K37" s="1" t="s">
        <v>19</v>
      </c>
    </row>
    <row r="38" spans="1:11" x14ac:dyDescent="0.35">
      <c r="A38" s="1">
        <v>1037</v>
      </c>
      <c r="B38" t="s">
        <v>71</v>
      </c>
      <c r="C38" s="1" t="s">
        <v>32</v>
      </c>
      <c r="D38" s="1" t="s">
        <v>56</v>
      </c>
      <c r="E38" s="1" t="s">
        <v>34</v>
      </c>
      <c r="F38" s="11">
        <v>900</v>
      </c>
      <c r="G38" s="1">
        <v>3</v>
      </c>
      <c r="H38" s="1">
        <v>0.1</v>
      </c>
      <c r="I38" s="7">
        <f t="shared" si="0"/>
        <v>2430</v>
      </c>
      <c r="J38" s="1" t="s">
        <v>15</v>
      </c>
      <c r="K38" s="1" t="s">
        <v>35</v>
      </c>
    </row>
    <row r="39" spans="1:11" x14ac:dyDescent="0.35">
      <c r="A39" s="1">
        <v>1038</v>
      </c>
      <c r="B39" t="s">
        <v>72</v>
      </c>
      <c r="C39" s="1" t="s">
        <v>51</v>
      </c>
      <c r="D39" s="1" t="s">
        <v>13</v>
      </c>
      <c r="E39" s="1" t="s">
        <v>14</v>
      </c>
      <c r="F39" s="11">
        <v>1200</v>
      </c>
      <c r="G39" s="1">
        <v>5</v>
      </c>
      <c r="H39" s="1">
        <v>0.05</v>
      </c>
      <c r="I39" s="7">
        <f t="shared" si="0"/>
        <v>5700</v>
      </c>
      <c r="J39" s="1" t="s">
        <v>30</v>
      </c>
      <c r="K39" s="1" t="s">
        <v>16</v>
      </c>
    </row>
    <row r="40" spans="1:11" x14ac:dyDescent="0.35">
      <c r="A40" s="1">
        <v>1039</v>
      </c>
      <c r="B40" t="s">
        <v>73</v>
      </c>
      <c r="C40" s="1" t="s">
        <v>51</v>
      </c>
      <c r="D40" s="1" t="s">
        <v>33</v>
      </c>
      <c r="E40" s="1" t="s">
        <v>14</v>
      </c>
      <c r="F40" s="11">
        <v>2800</v>
      </c>
      <c r="G40" s="1">
        <v>3</v>
      </c>
      <c r="H40" s="1">
        <v>0.2</v>
      </c>
      <c r="I40" s="7">
        <f t="shared" si="0"/>
        <v>6720</v>
      </c>
      <c r="J40" s="1" t="s">
        <v>15</v>
      </c>
      <c r="K40" s="1" t="s">
        <v>16</v>
      </c>
    </row>
    <row r="41" spans="1:11" x14ac:dyDescent="0.35">
      <c r="A41" s="1">
        <v>1040</v>
      </c>
      <c r="B41" t="s">
        <v>74</v>
      </c>
      <c r="C41" s="1" t="s">
        <v>40</v>
      </c>
      <c r="D41" s="1" t="s">
        <v>13</v>
      </c>
      <c r="E41" s="1" t="s">
        <v>14</v>
      </c>
      <c r="F41" s="11">
        <v>1200</v>
      </c>
      <c r="G41" s="1">
        <v>5</v>
      </c>
      <c r="H41" s="1">
        <v>0.15</v>
      </c>
      <c r="I41" s="7">
        <f t="shared" si="0"/>
        <v>5100</v>
      </c>
      <c r="J41" s="1" t="s">
        <v>18</v>
      </c>
      <c r="K41" s="1" t="s">
        <v>35</v>
      </c>
    </row>
    <row r="42" spans="1:11" x14ac:dyDescent="0.35">
      <c r="A42" s="1">
        <v>1041</v>
      </c>
      <c r="B42" t="s">
        <v>75</v>
      </c>
      <c r="C42" s="1" t="s">
        <v>24</v>
      </c>
      <c r="D42" s="1" t="s">
        <v>13</v>
      </c>
      <c r="E42" s="1" t="s">
        <v>14</v>
      </c>
      <c r="F42" s="11">
        <v>1200</v>
      </c>
      <c r="G42" s="1">
        <v>2</v>
      </c>
      <c r="H42" s="1">
        <v>0.05</v>
      </c>
      <c r="I42" s="7">
        <f t="shared" si="0"/>
        <v>2280</v>
      </c>
      <c r="J42" s="1" t="s">
        <v>45</v>
      </c>
      <c r="K42" s="1" t="s">
        <v>19</v>
      </c>
    </row>
    <row r="43" spans="1:11" x14ac:dyDescent="0.35">
      <c r="A43" s="1">
        <v>1042</v>
      </c>
      <c r="B43" t="s">
        <v>76</v>
      </c>
      <c r="C43" s="1" t="s">
        <v>40</v>
      </c>
      <c r="D43" s="1" t="s">
        <v>21</v>
      </c>
      <c r="E43" s="1" t="s">
        <v>22</v>
      </c>
      <c r="F43" s="11">
        <v>3500</v>
      </c>
      <c r="G43" s="1">
        <v>4</v>
      </c>
      <c r="H43" s="1">
        <v>0.15</v>
      </c>
      <c r="I43" s="7">
        <f t="shared" si="0"/>
        <v>11900</v>
      </c>
      <c r="J43" s="1" t="s">
        <v>45</v>
      </c>
      <c r="K43" s="1" t="s">
        <v>35</v>
      </c>
    </row>
    <row r="44" spans="1:11" x14ac:dyDescent="0.35">
      <c r="A44" s="1">
        <v>1043</v>
      </c>
      <c r="B44" t="s">
        <v>77</v>
      </c>
      <c r="C44" s="1" t="s">
        <v>55</v>
      </c>
      <c r="D44" s="1" t="s">
        <v>56</v>
      </c>
      <c r="E44" s="1" t="s">
        <v>34</v>
      </c>
      <c r="F44" s="11">
        <v>900</v>
      </c>
      <c r="G44" s="1">
        <v>1</v>
      </c>
      <c r="H44" s="1">
        <v>0.05</v>
      </c>
      <c r="I44" s="7">
        <f t="shared" si="0"/>
        <v>855</v>
      </c>
      <c r="J44" s="1" t="s">
        <v>26</v>
      </c>
      <c r="K44" s="1" t="s">
        <v>35</v>
      </c>
    </row>
    <row r="45" spans="1:11" x14ac:dyDescent="0.35">
      <c r="A45" s="1">
        <v>1044</v>
      </c>
      <c r="B45" t="s">
        <v>78</v>
      </c>
      <c r="C45" s="1" t="s">
        <v>43</v>
      </c>
      <c r="D45" s="1" t="s">
        <v>25</v>
      </c>
      <c r="E45" s="1" t="s">
        <v>14</v>
      </c>
      <c r="F45" s="11">
        <v>2200</v>
      </c>
      <c r="G45" s="1">
        <v>3</v>
      </c>
      <c r="H45" s="1">
        <v>0.2</v>
      </c>
      <c r="I45" s="7">
        <f t="shared" si="0"/>
        <v>5280</v>
      </c>
      <c r="J45" s="1" t="s">
        <v>45</v>
      </c>
      <c r="K45" s="1" t="s">
        <v>19</v>
      </c>
    </row>
    <row r="46" spans="1:11" x14ac:dyDescent="0.35">
      <c r="A46" s="1">
        <v>1045</v>
      </c>
      <c r="B46" t="s">
        <v>79</v>
      </c>
      <c r="C46" s="1" t="s">
        <v>24</v>
      </c>
      <c r="D46" s="1" t="s">
        <v>38</v>
      </c>
      <c r="E46" s="1" t="s">
        <v>14</v>
      </c>
      <c r="F46" s="11">
        <v>5000</v>
      </c>
      <c r="G46" s="1">
        <v>2</v>
      </c>
      <c r="H46" s="1">
        <v>0.2</v>
      </c>
      <c r="I46" s="7">
        <f t="shared" si="0"/>
        <v>8000</v>
      </c>
      <c r="J46" s="1" t="s">
        <v>30</v>
      </c>
      <c r="K46" s="1" t="s">
        <v>19</v>
      </c>
    </row>
    <row r="47" spans="1:11" x14ac:dyDescent="0.35">
      <c r="A47" s="1">
        <v>1046</v>
      </c>
      <c r="B47" t="s">
        <v>80</v>
      </c>
      <c r="C47" s="1" t="s">
        <v>67</v>
      </c>
      <c r="D47" s="1" t="s">
        <v>38</v>
      </c>
      <c r="E47" s="1" t="s">
        <v>14</v>
      </c>
      <c r="F47" s="11">
        <v>5000</v>
      </c>
      <c r="G47" s="1">
        <v>3</v>
      </c>
      <c r="H47" s="1">
        <v>0.05</v>
      </c>
      <c r="I47" s="7">
        <f t="shared" si="0"/>
        <v>14250</v>
      </c>
      <c r="J47" s="1" t="s">
        <v>30</v>
      </c>
      <c r="K47" s="1" t="s">
        <v>35</v>
      </c>
    </row>
    <row r="48" spans="1:11" x14ac:dyDescent="0.35">
      <c r="A48" s="1">
        <v>1047</v>
      </c>
      <c r="B48" t="s">
        <v>81</v>
      </c>
      <c r="C48" s="1" t="s">
        <v>48</v>
      </c>
      <c r="D48" s="1" t="s">
        <v>56</v>
      </c>
      <c r="E48" s="1" t="s">
        <v>34</v>
      </c>
      <c r="F48" s="11">
        <v>900</v>
      </c>
      <c r="G48" s="1">
        <v>5</v>
      </c>
      <c r="H48" s="1">
        <v>0.2</v>
      </c>
      <c r="I48" s="7">
        <f t="shared" si="0"/>
        <v>3600</v>
      </c>
      <c r="J48" s="1" t="s">
        <v>26</v>
      </c>
      <c r="K48" s="1" t="s">
        <v>35</v>
      </c>
    </row>
    <row r="49" spans="1:11" x14ac:dyDescent="0.35">
      <c r="A49" s="1">
        <v>1048</v>
      </c>
      <c r="B49" t="s">
        <v>42</v>
      </c>
      <c r="C49" s="1" t="s">
        <v>12</v>
      </c>
      <c r="D49" s="1" t="s">
        <v>13</v>
      </c>
      <c r="E49" s="1" t="s">
        <v>14</v>
      </c>
      <c r="F49" s="11">
        <v>1200</v>
      </c>
      <c r="G49" s="1">
        <v>3</v>
      </c>
      <c r="H49" s="1">
        <v>0.1</v>
      </c>
      <c r="I49" s="7">
        <f t="shared" si="0"/>
        <v>3240</v>
      </c>
      <c r="J49" s="1" t="s">
        <v>15</v>
      </c>
      <c r="K49" s="1" t="s">
        <v>35</v>
      </c>
    </row>
    <row r="50" spans="1:11" x14ac:dyDescent="0.35">
      <c r="A50" s="1">
        <v>1049</v>
      </c>
      <c r="B50" t="s">
        <v>82</v>
      </c>
      <c r="C50" s="1" t="s">
        <v>32</v>
      </c>
      <c r="D50" s="1" t="s">
        <v>13</v>
      </c>
      <c r="E50" s="1" t="s">
        <v>14</v>
      </c>
      <c r="F50" s="11">
        <v>1200</v>
      </c>
      <c r="G50" s="1">
        <v>1</v>
      </c>
      <c r="H50" s="1">
        <v>0.05</v>
      </c>
      <c r="I50" s="7">
        <f t="shared" si="0"/>
        <v>1140</v>
      </c>
      <c r="J50" s="1" t="s">
        <v>26</v>
      </c>
      <c r="K50" s="1" t="s">
        <v>16</v>
      </c>
    </row>
    <row r="51" spans="1:11" x14ac:dyDescent="0.35">
      <c r="A51" s="1">
        <v>1050</v>
      </c>
      <c r="B51" t="s">
        <v>83</v>
      </c>
      <c r="C51" s="1" t="s">
        <v>37</v>
      </c>
      <c r="D51" s="1" t="s">
        <v>33</v>
      </c>
      <c r="E51" s="1" t="s">
        <v>14</v>
      </c>
      <c r="F51" s="11">
        <v>2800</v>
      </c>
      <c r="G51" s="1">
        <v>5</v>
      </c>
      <c r="H51" s="1">
        <v>0.05</v>
      </c>
      <c r="I51" s="7">
        <f t="shared" si="0"/>
        <v>13300</v>
      </c>
      <c r="J51" s="1" t="s">
        <v>30</v>
      </c>
      <c r="K51" s="1" t="s">
        <v>35</v>
      </c>
    </row>
    <row r="52" spans="1:11" x14ac:dyDescent="0.35">
      <c r="A52" s="1">
        <v>1051</v>
      </c>
      <c r="B52" t="s">
        <v>84</v>
      </c>
      <c r="C52" s="1" t="s">
        <v>51</v>
      </c>
      <c r="D52" s="1" t="s">
        <v>38</v>
      </c>
      <c r="E52" s="1" t="s">
        <v>14</v>
      </c>
      <c r="F52" s="11">
        <v>5000</v>
      </c>
      <c r="G52" s="1">
        <v>4</v>
      </c>
      <c r="H52" s="1">
        <v>0.1</v>
      </c>
      <c r="I52" s="7">
        <f t="shared" si="0"/>
        <v>18000</v>
      </c>
      <c r="J52" s="1" t="s">
        <v>45</v>
      </c>
      <c r="K52" s="1" t="s">
        <v>35</v>
      </c>
    </row>
    <row r="53" spans="1:11" x14ac:dyDescent="0.35">
      <c r="A53" s="1">
        <v>1052</v>
      </c>
      <c r="B53" t="s">
        <v>85</v>
      </c>
      <c r="C53" s="1" t="s">
        <v>48</v>
      </c>
      <c r="D53" s="1" t="s">
        <v>21</v>
      </c>
      <c r="E53" s="1" t="s">
        <v>22</v>
      </c>
      <c r="F53" s="11">
        <v>3500</v>
      </c>
      <c r="G53" s="1">
        <v>5</v>
      </c>
      <c r="H53" s="1">
        <v>0.05</v>
      </c>
      <c r="I53" s="7">
        <f t="shared" si="0"/>
        <v>16625</v>
      </c>
      <c r="J53" s="1" t="s">
        <v>26</v>
      </c>
      <c r="K53" s="1" t="s">
        <v>35</v>
      </c>
    </row>
    <row r="54" spans="1:11" x14ac:dyDescent="0.35">
      <c r="A54" s="1">
        <v>1053</v>
      </c>
      <c r="B54" t="s">
        <v>86</v>
      </c>
      <c r="C54" s="1" t="s">
        <v>24</v>
      </c>
      <c r="D54" s="1" t="s">
        <v>28</v>
      </c>
      <c r="E54" s="1" t="s">
        <v>29</v>
      </c>
      <c r="F54" s="11">
        <v>4500</v>
      </c>
      <c r="G54" s="1">
        <v>5</v>
      </c>
      <c r="H54" s="1">
        <v>0.15</v>
      </c>
      <c r="I54" s="7">
        <f t="shared" si="0"/>
        <v>19125</v>
      </c>
      <c r="J54" s="1" t="s">
        <v>15</v>
      </c>
      <c r="K54" s="1" t="s">
        <v>19</v>
      </c>
    </row>
    <row r="55" spans="1:11" x14ac:dyDescent="0.35">
      <c r="A55" s="1">
        <v>1054</v>
      </c>
      <c r="B55" t="s">
        <v>62</v>
      </c>
      <c r="C55" s="1" t="s">
        <v>12</v>
      </c>
      <c r="D55" s="1" t="s">
        <v>25</v>
      </c>
      <c r="E55" s="1" t="s">
        <v>14</v>
      </c>
      <c r="F55" s="11">
        <v>2200</v>
      </c>
      <c r="G55" s="1">
        <v>1</v>
      </c>
      <c r="H55" s="1">
        <v>0.15</v>
      </c>
      <c r="I55" s="7">
        <f t="shared" si="0"/>
        <v>1870</v>
      </c>
      <c r="J55" s="1" t="s">
        <v>18</v>
      </c>
      <c r="K55" s="1" t="s">
        <v>16</v>
      </c>
    </row>
    <row r="56" spans="1:11" x14ac:dyDescent="0.35">
      <c r="A56" s="1">
        <v>1055</v>
      </c>
      <c r="B56" t="s">
        <v>87</v>
      </c>
      <c r="C56" s="1" t="s">
        <v>12</v>
      </c>
      <c r="D56" s="1" t="s">
        <v>38</v>
      </c>
      <c r="E56" s="1" t="s">
        <v>14</v>
      </c>
      <c r="F56" s="11">
        <v>5000</v>
      </c>
      <c r="G56" s="1">
        <v>5</v>
      </c>
      <c r="H56" s="1">
        <v>0</v>
      </c>
      <c r="I56" s="7">
        <f t="shared" si="0"/>
        <v>25000</v>
      </c>
      <c r="J56" s="1" t="s">
        <v>18</v>
      </c>
      <c r="K56" s="1" t="s">
        <v>16</v>
      </c>
    </row>
    <row r="57" spans="1:11" x14ac:dyDescent="0.35">
      <c r="A57" s="1">
        <v>1056</v>
      </c>
      <c r="B57" t="s">
        <v>54</v>
      </c>
      <c r="C57" s="1" t="s">
        <v>51</v>
      </c>
      <c r="D57" s="1" t="s">
        <v>38</v>
      </c>
      <c r="E57" s="1" t="s">
        <v>14</v>
      </c>
      <c r="F57" s="11">
        <v>5000</v>
      </c>
      <c r="G57" s="1">
        <v>5</v>
      </c>
      <c r="H57" s="1">
        <v>0.1</v>
      </c>
      <c r="I57" s="7">
        <f t="shared" si="0"/>
        <v>22500</v>
      </c>
      <c r="J57" s="1" t="s">
        <v>15</v>
      </c>
      <c r="K57" s="1" t="s">
        <v>16</v>
      </c>
    </row>
    <row r="58" spans="1:11" x14ac:dyDescent="0.35">
      <c r="A58" s="1">
        <v>1057</v>
      </c>
      <c r="B58" t="s">
        <v>88</v>
      </c>
      <c r="C58" s="1" t="s">
        <v>48</v>
      </c>
      <c r="D58" s="1" t="s">
        <v>21</v>
      </c>
      <c r="E58" s="1" t="s">
        <v>22</v>
      </c>
      <c r="F58" s="11">
        <v>3500</v>
      </c>
      <c r="G58" s="1">
        <v>3</v>
      </c>
      <c r="H58" s="1">
        <v>0</v>
      </c>
      <c r="I58" s="7">
        <f t="shared" si="0"/>
        <v>10500</v>
      </c>
      <c r="J58" s="1" t="s">
        <v>26</v>
      </c>
      <c r="K58" s="1" t="s">
        <v>19</v>
      </c>
    </row>
    <row r="59" spans="1:11" x14ac:dyDescent="0.35">
      <c r="A59" s="1">
        <v>1058</v>
      </c>
      <c r="B59" t="s">
        <v>89</v>
      </c>
      <c r="C59" s="1" t="s">
        <v>51</v>
      </c>
      <c r="D59" s="1" t="s">
        <v>56</v>
      </c>
      <c r="E59" s="1" t="s">
        <v>34</v>
      </c>
      <c r="F59" s="11">
        <v>900</v>
      </c>
      <c r="G59" s="1">
        <v>3</v>
      </c>
      <c r="H59" s="1">
        <v>0.05</v>
      </c>
      <c r="I59" s="7">
        <f t="shared" si="0"/>
        <v>2565</v>
      </c>
      <c r="J59" s="1" t="s">
        <v>45</v>
      </c>
      <c r="K59" s="1" t="s">
        <v>19</v>
      </c>
    </row>
    <row r="60" spans="1:11" x14ac:dyDescent="0.35">
      <c r="A60" s="1">
        <v>1059</v>
      </c>
      <c r="B60" t="s">
        <v>90</v>
      </c>
      <c r="C60" s="1" t="s">
        <v>48</v>
      </c>
      <c r="D60" s="1" t="s">
        <v>21</v>
      </c>
      <c r="E60" s="1" t="s">
        <v>22</v>
      </c>
      <c r="F60" s="11">
        <v>3500</v>
      </c>
      <c r="G60" s="1">
        <v>2</v>
      </c>
      <c r="H60" s="1">
        <v>0.2</v>
      </c>
      <c r="I60" s="7">
        <f t="shared" si="0"/>
        <v>5600</v>
      </c>
      <c r="J60" s="1" t="s">
        <v>15</v>
      </c>
      <c r="K60" s="1" t="s">
        <v>19</v>
      </c>
    </row>
    <row r="61" spans="1:11" x14ac:dyDescent="0.35">
      <c r="A61" s="1">
        <v>1060</v>
      </c>
      <c r="B61" t="s">
        <v>91</v>
      </c>
      <c r="C61" s="1" t="s">
        <v>24</v>
      </c>
      <c r="D61" s="1" t="s">
        <v>56</v>
      </c>
      <c r="E61" s="1" t="s">
        <v>34</v>
      </c>
      <c r="F61" s="11">
        <v>900</v>
      </c>
      <c r="G61" s="1">
        <v>1</v>
      </c>
      <c r="H61" s="1">
        <v>0.05</v>
      </c>
      <c r="I61" s="7">
        <f t="shared" si="0"/>
        <v>855</v>
      </c>
      <c r="J61" s="1" t="s">
        <v>30</v>
      </c>
      <c r="K61" s="1" t="s">
        <v>16</v>
      </c>
    </row>
    <row r="62" spans="1:11" x14ac:dyDescent="0.35">
      <c r="A62" s="1">
        <v>1061</v>
      </c>
      <c r="B62" t="s">
        <v>74</v>
      </c>
      <c r="C62" s="1" t="s">
        <v>48</v>
      </c>
      <c r="D62" s="1" t="s">
        <v>33</v>
      </c>
      <c r="E62" s="1" t="s">
        <v>14</v>
      </c>
      <c r="F62" s="11">
        <v>2800</v>
      </c>
      <c r="G62" s="1">
        <v>4</v>
      </c>
      <c r="H62" s="1">
        <v>0.05</v>
      </c>
      <c r="I62" s="7">
        <f t="shared" si="0"/>
        <v>10640</v>
      </c>
      <c r="J62" s="1" t="s">
        <v>26</v>
      </c>
      <c r="K62" s="1" t="s">
        <v>16</v>
      </c>
    </row>
    <row r="63" spans="1:11" x14ac:dyDescent="0.35">
      <c r="A63" s="1">
        <v>1062</v>
      </c>
      <c r="B63" t="s">
        <v>53</v>
      </c>
      <c r="C63" s="1" t="s">
        <v>32</v>
      </c>
      <c r="D63" s="1" t="s">
        <v>13</v>
      </c>
      <c r="E63" s="1" t="s">
        <v>14</v>
      </c>
      <c r="F63" s="11">
        <v>1200</v>
      </c>
      <c r="G63" s="1">
        <v>2</v>
      </c>
      <c r="H63" s="1">
        <v>0.2</v>
      </c>
      <c r="I63" s="7">
        <f t="shared" si="0"/>
        <v>1920</v>
      </c>
      <c r="J63" s="1" t="s">
        <v>18</v>
      </c>
      <c r="K63" s="1" t="s">
        <v>16</v>
      </c>
    </row>
    <row r="64" spans="1:11" x14ac:dyDescent="0.35">
      <c r="A64" s="1">
        <v>1063</v>
      </c>
      <c r="B64" t="s">
        <v>90</v>
      </c>
      <c r="C64" s="1" t="s">
        <v>55</v>
      </c>
      <c r="D64" s="1" t="s">
        <v>13</v>
      </c>
      <c r="E64" s="1" t="s">
        <v>14</v>
      </c>
      <c r="F64" s="11">
        <v>1200</v>
      </c>
      <c r="G64" s="1">
        <v>4</v>
      </c>
      <c r="H64" s="1">
        <v>0.05</v>
      </c>
      <c r="I64" s="7">
        <f t="shared" si="0"/>
        <v>4560</v>
      </c>
      <c r="J64" s="1" t="s">
        <v>45</v>
      </c>
      <c r="K64" s="1" t="s">
        <v>16</v>
      </c>
    </row>
    <row r="65" spans="1:11" x14ac:dyDescent="0.35">
      <c r="A65" s="1">
        <v>1064</v>
      </c>
      <c r="B65" t="s">
        <v>78</v>
      </c>
      <c r="C65" s="1" t="s">
        <v>51</v>
      </c>
      <c r="D65" s="1" t="s">
        <v>25</v>
      </c>
      <c r="E65" s="1" t="s">
        <v>14</v>
      </c>
      <c r="F65" s="11">
        <v>2200</v>
      </c>
      <c r="G65" s="1">
        <v>4</v>
      </c>
      <c r="H65" s="1">
        <v>0</v>
      </c>
      <c r="I65" s="7">
        <f t="shared" si="0"/>
        <v>8800</v>
      </c>
      <c r="J65" s="1" t="s">
        <v>26</v>
      </c>
      <c r="K65" s="1" t="s">
        <v>19</v>
      </c>
    </row>
    <row r="66" spans="1:11" x14ac:dyDescent="0.35">
      <c r="A66" s="1">
        <v>1065</v>
      </c>
      <c r="B66" t="s">
        <v>92</v>
      </c>
      <c r="C66" s="1" t="s">
        <v>24</v>
      </c>
      <c r="D66" s="1" t="s">
        <v>25</v>
      </c>
      <c r="E66" s="1" t="s">
        <v>14</v>
      </c>
      <c r="F66" s="11">
        <v>2200</v>
      </c>
      <c r="G66" s="1">
        <v>5</v>
      </c>
      <c r="H66" s="1">
        <v>0.2</v>
      </c>
      <c r="I66" s="7">
        <f t="shared" si="0"/>
        <v>8800</v>
      </c>
      <c r="J66" s="1" t="s">
        <v>15</v>
      </c>
      <c r="K66" s="1" t="s">
        <v>16</v>
      </c>
    </row>
    <row r="67" spans="1:11" x14ac:dyDescent="0.35">
      <c r="A67" s="1">
        <v>1066</v>
      </c>
      <c r="B67" t="s">
        <v>93</v>
      </c>
      <c r="C67" s="1" t="s">
        <v>67</v>
      </c>
      <c r="D67" s="1" t="s">
        <v>28</v>
      </c>
      <c r="E67" s="1" t="s">
        <v>29</v>
      </c>
      <c r="F67" s="11">
        <v>4500</v>
      </c>
      <c r="G67" s="1">
        <v>3</v>
      </c>
      <c r="H67" s="1">
        <v>0.05</v>
      </c>
      <c r="I67" s="7">
        <f t="shared" ref="I67:I130" si="1">(F67*G67)*(1-H67)</f>
        <v>12825</v>
      </c>
      <c r="J67" s="1" t="s">
        <v>18</v>
      </c>
      <c r="K67" s="1" t="s">
        <v>35</v>
      </c>
    </row>
    <row r="68" spans="1:11" x14ac:dyDescent="0.35">
      <c r="A68" s="1">
        <v>1067</v>
      </c>
      <c r="B68" t="s">
        <v>94</v>
      </c>
      <c r="C68" s="1" t="s">
        <v>51</v>
      </c>
      <c r="D68" s="1" t="s">
        <v>33</v>
      </c>
      <c r="E68" s="1" t="s">
        <v>14</v>
      </c>
      <c r="F68" s="11">
        <v>2800</v>
      </c>
      <c r="G68" s="1">
        <v>3</v>
      </c>
      <c r="H68" s="1">
        <v>0.15</v>
      </c>
      <c r="I68" s="7">
        <f t="shared" si="1"/>
        <v>7140</v>
      </c>
      <c r="J68" s="1" t="s">
        <v>45</v>
      </c>
      <c r="K68" s="1" t="s">
        <v>16</v>
      </c>
    </row>
    <row r="69" spans="1:11" x14ac:dyDescent="0.35">
      <c r="A69" s="1">
        <v>1068</v>
      </c>
      <c r="B69" t="s">
        <v>95</v>
      </c>
      <c r="C69" s="1" t="s">
        <v>37</v>
      </c>
      <c r="D69" s="1" t="s">
        <v>13</v>
      </c>
      <c r="E69" s="1" t="s">
        <v>14</v>
      </c>
      <c r="F69" s="11">
        <v>1200</v>
      </c>
      <c r="G69" s="1">
        <v>3</v>
      </c>
      <c r="H69" s="1">
        <v>0</v>
      </c>
      <c r="I69" s="7">
        <f t="shared" si="1"/>
        <v>3600</v>
      </c>
      <c r="J69" s="1" t="s">
        <v>18</v>
      </c>
      <c r="K69" s="1" t="s">
        <v>19</v>
      </c>
    </row>
    <row r="70" spans="1:11" x14ac:dyDescent="0.35">
      <c r="A70" s="1">
        <v>1069</v>
      </c>
      <c r="B70" t="s">
        <v>96</v>
      </c>
      <c r="C70" s="1" t="s">
        <v>51</v>
      </c>
      <c r="D70" s="1" t="s">
        <v>56</v>
      </c>
      <c r="E70" s="1" t="s">
        <v>34</v>
      </c>
      <c r="F70" s="11">
        <v>900</v>
      </c>
      <c r="G70" s="1">
        <v>3</v>
      </c>
      <c r="H70" s="1">
        <v>0.15</v>
      </c>
      <c r="I70" s="7">
        <f t="shared" si="1"/>
        <v>2295</v>
      </c>
      <c r="J70" s="1" t="s">
        <v>45</v>
      </c>
      <c r="K70" s="1" t="s">
        <v>16</v>
      </c>
    </row>
    <row r="71" spans="1:11" x14ac:dyDescent="0.35">
      <c r="A71" s="1">
        <v>1070</v>
      </c>
      <c r="B71" t="s">
        <v>97</v>
      </c>
      <c r="C71" s="1" t="s">
        <v>48</v>
      </c>
      <c r="D71" s="1" t="s">
        <v>21</v>
      </c>
      <c r="E71" s="1" t="s">
        <v>22</v>
      </c>
      <c r="F71" s="11">
        <v>3500</v>
      </c>
      <c r="G71" s="1">
        <v>3</v>
      </c>
      <c r="H71" s="1">
        <v>0.15</v>
      </c>
      <c r="I71" s="7">
        <f t="shared" si="1"/>
        <v>8925</v>
      </c>
      <c r="J71" s="1" t="s">
        <v>18</v>
      </c>
      <c r="K71" s="1" t="s">
        <v>16</v>
      </c>
    </row>
    <row r="72" spans="1:11" x14ac:dyDescent="0.35">
      <c r="A72" s="1">
        <v>1071</v>
      </c>
      <c r="B72" t="s">
        <v>42</v>
      </c>
      <c r="C72" s="1" t="s">
        <v>40</v>
      </c>
      <c r="D72" s="1" t="s">
        <v>13</v>
      </c>
      <c r="E72" s="1" t="s">
        <v>14</v>
      </c>
      <c r="F72" s="11">
        <v>1200</v>
      </c>
      <c r="G72" s="1">
        <v>3</v>
      </c>
      <c r="H72" s="1">
        <v>0.15</v>
      </c>
      <c r="I72" s="7">
        <f t="shared" si="1"/>
        <v>3060</v>
      </c>
      <c r="J72" s="1" t="s">
        <v>26</v>
      </c>
      <c r="K72" s="1" t="s">
        <v>16</v>
      </c>
    </row>
    <row r="73" spans="1:11" x14ac:dyDescent="0.35">
      <c r="A73" s="1">
        <v>1072</v>
      </c>
      <c r="B73" t="s">
        <v>72</v>
      </c>
      <c r="C73" s="1" t="s">
        <v>51</v>
      </c>
      <c r="D73" s="1" t="s">
        <v>21</v>
      </c>
      <c r="E73" s="1" t="s">
        <v>22</v>
      </c>
      <c r="F73" s="11">
        <v>3500</v>
      </c>
      <c r="G73" s="1">
        <v>2</v>
      </c>
      <c r="H73" s="1">
        <v>0.15</v>
      </c>
      <c r="I73" s="7">
        <f t="shared" si="1"/>
        <v>5950</v>
      </c>
      <c r="J73" s="1" t="s">
        <v>26</v>
      </c>
      <c r="K73" s="1" t="s">
        <v>35</v>
      </c>
    </row>
    <row r="74" spans="1:11" x14ac:dyDescent="0.35">
      <c r="A74" s="1">
        <v>1073</v>
      </c>
      <c r="B74" t="s">
        <v>98</v>
      </c>
      <c r="C74" s="1" t="s">
        <v>67</v>
      </c>
      <c r="D74" s="1" t="s">
        <v>25</v>
      </c>
      <c r="E74" s="1" t="s">
        <v>14</v>
      </c>
      <c r="F74" s="11">
        <v>2200</v>
      </c>
      <c r="G74" s="1">
        <v>2</v>
      </c>
      <c r="H74" s="1">
        <v>0</v>
      </c>
      <c r="I74" s="7">
        <f t="shared" si="1"/>
        <v>4400</v>
      </c>
      <c r="J74" s="1" t="s">
        <v>15</v>
      </c>
      <c r="K74" s="1" t="s">
        <v>19</v>
      </c>
    </row>
    <row r="75" spans="1:11" x14ac:dyDescent="0.35">
      <c r="A75" s="1">
        <v>1074</v>
      </c>
      <c r="B75" t="s">
        <v>99</v>
      </c>
      <c r="C75" s="1" t="s">
        <v>12</v>
      </c>
      <c r="D75" s="1" t="s">
        <v>21</v>
      </c>
      <c r="E75" s="1" t="s">
        <v>22</v>
      </c>
      <c r="F75" s="11">
        <v>3500</v>
      </c>
      <c r="G75" s="1">
        <v>5</v>
      </c>
      <c r="H75" s="1">
        <v>0.1</v>
      </c>
      <c r="I75" s="7">
        <f t="shared" si="1"/>
        <v>15750</v>
      </c>
      <c r="J75" s="1" t="s">
        <v>26</v>
      </c>
      <c r="K75" s="1" t="s">
        <v>19</v>
      </c>
    </row>
    <row r="76" spans="1:11" x14ac:dyDescent="0.35">
      <c r="A76" s="1">
        <v>1075</v>
      </c>
      <c r="B76" t="s">
        <v>49</v>
      </c>
      <c r="C76" s="1" t="s">
        <v>43</v>
      </c>
      <c r="D76" s="1" t="s">
        <v>25</v>
      </c>
      <c r="E76" s="1" t="s">
        <v>14</v>
      </c>
      <c r="F76" s="11">
        <v>2200</v>
      </c>
      <c r="G76" s="1">
        <v>2</v>
      </c>
      <c r="H76" s="1">
        <v>0</v>
      </c>
      <c r="I76" s="7">
        <f t="shared" si="1"/>
        <v>4400</v>
      </c>
      <c r="J76" s="1" t="s">
        <v>15</v>
      </c>
      <c r="K76" s="1" t="s">
        <v>19</v>
      </c>
    </row>
    <row r="77" spans="1:11" x14ac:dyDescent="0.35">
      <c r="A77" s="1">
        <v>1076</v>
      </c>
      <c r="B77" t="s">
        <v>76</v>
      </c>
      <c r="C77" s="1" t="s">
        <v>55</v>
      </c>
      <c r="D77" s="1" t="s">
        <v>38</v>
      </c>
      <c r="E77" s="1" t="s">
        <v>14</v>
      </c>
      <c r="F77" s="11">
        <v>5000</v>
      </c>
      <c r="G77" s="1">
        <v>4</v>
      </c>
      <c r="H77" s="1">
        <v>0.15</v>
      </c>
      <c r="I77" s="7">
        <f t="shared" si="1"/>
        <v>17000</v>
      </c>
      <c r="J77" s="1" t="s">
        <v>45</v>
      </c>
      <c r="K77" s="1" t="s">
        <v>19</v>
      </c>
    </row>
    <row r="78" spans="1:11" x14ac:dyDescent="0.35">
      <c r="A78" s="1">
        <v>1077</v>
      </c>
      <c r="B78" t="s">
        <v>66</v>
      </c>
      <c r="C78" s="1" t="s">
        <v>51</v>
      </c>
      <c r="D78" s="1" t="s">
        <v>13</v>
      </c>
      <c r="E78" s="1" t="s">
        <v>14</v>
      </c>
      <c r="F78" s="11">
        <v>1200</v>
      </c>
      <c r="G78" s="1">
        <v>5</v>
      </c>
      <c r="H78" s="1">
        <v>0.05</v>
      </c>
      <c r="I78" s="7">
        <f t="shared" si="1"/>
        <v>5700</v>
      </c>
      <c r="J78" s="1" t="s">
        <v>30</v>
      </c>
      <c r="K78" s="1" t="s">
        <v>16</v>
      </c>
    </row>
    <row r="79" spans="1:11" x14ac:dyDescent="0.35">
      <c r="A79" s="1">
        <v>1078</v>
      </c>
      <c r="B79" t="s">
        <v>31</v>
      </c>
      <c r="C79" s="1" t="s">
        <v>48</v>
      </c>
      <c r="D79" s="1" t="s">
        <v>28</v>
      </c>
      <c r="E79" s="1" t="s">
        <v>29</v>
      </c>
      <c r="F79" s="11">
        <v>4500</v>
      </c>
      <c r="G79" s="1">
        <v>2</v>
      </c>
      <c r="H79" s="1">
        <v>0.15</v>
      </c>
      <c r="I79" s="7">
        <f t="shared" si="1"/>
        <v>7650</v>
      </c>
      <c r="J79" s="1" t="s">
        <v>18</v>
      </c>
      <c r="K79" s="1" t="s">
        <v>16</v>
      </c>
    </row>
    <row r="80" spans="1:11" x14ac:dyDescent="0.35">
      <c r="A80" s="1">
        <v>1079</v>
      </c>
      <c r="B80" t="s">
        <v>100</v>
      </c>
      <c r="C80" s="1" t="s">
        <v>12</v>
      </c>
      <c r="D80" s="1" t="s">
        <v>21</v>
      </c>
      <c r="E80" s="1" t="s">
        <v>22</v>
      </c>
      <c r="F80" s="11">
        <v>3500</v>
      </c>
      <c r="G80" s="1">
        <v>1</v>
      </c>
      <c r="H80" s="1">
        <v>0.1</v>
      </c>
      <c r="I80" s="7">
        <f t="shared" si="1"/>
        <v>3150</v>
      </c>
      <c r="J80" s="1" t="s">
        <v>45</v>
      </c>
      <c r="K80" s="1" t="s">
        <v>35</v>
      </c>
    </row>
    <row r="81" spans="1:11" x14ac:dyDescent="0.35">
      <c r="A81" s="1">
        <v>1080</v>
      </c>
      <c r="B81" t="s">
        <v>101</v>
      </c>
      <c r="C81" s="1" t="s">
        <v>51</v>
      </c>
      <c r="D81" s="1" t="s">
        <v>28</v>
      </c>
      <c r="E81" s="1" t="s">
        <v>29</v>
      </c>
      <c r="F81" s="11">
        <v>4500</v>
      </c>
      <c r="G81" s="1">
        <v>1</v>
      </c>
      <c r="H81" s="1">
        <v>0</v>
      </c>
      <c r="I81" s="7">
        <f t="shared" si="1"/>
        <v>4500</v>
      </c>
      <c r="J81" s="1" t="s">
        <v>45</v>
      </c>
      <c r="K81" s="1" t="s">
        <v>16</v>
      </c>
    </row>
    <row r="82" spans="1:11" x14ac:dyDescent="0.35">
      <c r="A82" s="1">
        <v>1081</v>
      </c>
      <c r="B82" t="s">
        <v>61</v>
      </c>
      <c r="C82" s="1" t="s">
        <v>12</v>
      </c>
      <c r="D82" s="1" t="s">
        <v>13</v>
      </c>
      <c r="E82" s="1" t="s">
        <v>14</v>
      </c>
      <c r="F82" s="11">
        <v>1200</v>
      </c>
      <c r="G82" s="1">
        <v>2</v>
      </c>
      <c r="H82" s="1">
        <v>0.1</v>
      </c>
      <c r="I82" s="7">
        <f t="shared" si="1"/>
        <v>2160</v>
      </c>
      <c r="J82" s="1" t="s">
        <v>15</v>
      </c>
      <c r="K82" s="1" t="s">
        <v>19</v>
      </c>
    </row>
    <row r="83" spans="1:11" x14ac:dyDescent="0.35">
      <c r="A83" s="1">
        <v>1082</v>
      </c>
      <c r="B83" t="s">
        <v>102</v>
      </c>
      <c r="C83" s="1" t="s">
        <v>12</v>
      </c>
      <c r="D83" s="1" t="s">
        <v>25</v>
      </c>
      <c r="E83" s="1" t="s">
        <v>14</v>
      </c>
      <c r="F83" s="11">
        <v>2200</v>
      </c>
      <c r="G83" s="1">
        <v>3</v>
      </c>
      <c r="H83" s="1">
        <v>0.15</v>
      </c>
      <c r="I83" s="7">
        <f t="shared" si="1"/>
        <v>5610</v>
      </c>
      <c r="J83" s="1" t="s">
        <v>45</v>
      </c>
      <c r="K83" s="1" t="s">
        <v>35</v>
      </c>
    </row>
    <row r="84" spans="1:11" x14ac:dyDescent="0.35">
      <c r="A84" s="1">
        <v>1083</v>
      </c>
      <c r="B84" t="s">
        <v>103</v>
      </c>
      <c r="C84" s="1" t="s">
        <v>51</v>
      </c>
      <c r="D84" s="1" t="s">
        <v>28</v>
      </c>
      <c r="E84" s="1" t="s">
        <v>29</v>
      </c>
      <c r="F84" s="11">
        <v>4500</v>
      </c>
      <c r="G84" s="1">
        <v>3</v>
      </c>
      <c r="H84" s="1">
        <v>0.1</v>
      </c>
      <c r="I84" s="7">
        <f t="shared" si="1"/>
        <v>12150</v>
      </c>
      <c r="J84" s="1" t="s">
        <v>30</v>
      </c>
      <c r="K84" s="1" t="s">
        <v>19</v>
      </c>
    </row>
    <row r="85" spans="1:11" x14ac:dyDescent="0.35">
      <c r="A85" s="1">
        <v>1084</v>
      </c>
      <c r="B85" t="s">
        <v>58</v>
      </c>
      <c r="C85" s="1" t="s">
        <v>40</v>
      </c>
      <c r="D85" s="1" t="s">
        <v>33</v>
      </c>
      <c r="E85" s="1" t="s">
        <v>14</v>
      </c>
      <c r="F85" s="11">
        <v>2800</v>
      </c>
      <c r="G85" s="1">
        <v>5</v>
      </c>
      <c r="H85" s="1">
        <v>0.1</v>
      </c>
      <c r="I85" s="7">
        <f t="shared" si="1"/>
        <v>12600</v>
      </c>
      <c r="J85" s="1" t="s">
        <v>30</v>
      </c>
      <c r="K85" s="1" t="s">
        <v>19</v>
      </c>
    </row>
    <row r="86" spans="1:11" x14ac:dyDescent="0.35">
      <c r="A86" s="1">
        <v>1085</v>
      </c>
      <c r="B86" t="s">
        <v>104</v>
      </c>
      <c r="C86" s="1" t="s">
        <v>48</v>
      </c>
      <c r="D86" s="1" t="s">
        <v>21</v>
      </c>
      <c r="E86" s="1" t="s">
        <v>22</v>
      </c>
      <c r="F86" s="11">
        <v>3500</v>
      </c>
      <c r="G86" s="1">
        <v>5</v>
      </c>
      <c r="H86" s="1">
        <v>0.1</v>
      </c>
      <c r="I86" s="7">
        <f t="shared" si="1"/>
        <v>15750</v>
      </c>
      <c r="J86" s="1" t="s">
        <v>26</v>
      </c>
      <c r="K86" s="1" t="s">
        <v>35</v>
      </c>
    </row>
    <row r="87" spans="1:11" x14ac:dyDescent="0.35">
      <c r="A87" s="1">
        <v>1086</v>
      </c>
      <c r="B87" t="s">
        <v>105</v>
      </c>
      <c r="C87" s="1" t="s">
        <v>24</v>
      </c>
      <c r="D87" s="1" t="s">
        <v>13</v>
      </c>
      <c r="E87" s="1" t="s">
        <v>14</v>
      </c>
      <c r="F87" s="11">
        <v>1200</v>
      </c>
      <c r="G87" s="1">
        <v>2</v>
      </c>
      <c r="H87" s="1">
        <v>0.2</v>
      </c>
      <c r="I87" s="7">
        <f t="shared" si="1"/>
        <v>1920</v>
      </c>
      <c r="J87" s="1" t="s">
        <v>15</v>
      </c>
      <c r="K87" s="1" t="s">
        <v>19</v>
      </c>
    </row>
    <row r="88" spans="1:11" x14ac:dyDescent="0.35">
      <c r="A88" s="1">
        <v>1087</v>
      </c>
      <c r="B88" t="s">
        <v>79</v>
      </c>
      <c r="C88" s="1" t="s">
        <v>55</v>
      </c>
      <c r="D88" s="1" t="s">
        <v>56</v>
      </c>
      <c r="E88" s="1" t="s">
        <v>34</v>
      </c>
      <c r="F88" s="11">
        <v>900</v>
      </c>
      <c r="G88" s="1">
        <v>1</v>
      </c>
      <c r="H88" s="1">
        <v>0.05</v>
      </c>
      <c r="I88" s="7">
        <f t="shared" si="1"/>
        <v>855</v>
      </c>
      <c r="J88" s="1" t="s">
        <v>15</v>
      </c>
      <c r="K88" s="1" t="s">
        <v>16</v>
      </c>
    </row>
    <row r="89" spans="1:11" x14ac:dyDescent="0.35">
      <c r="A89" s="1">
        <v>1088</v>
      </c>
      <c r="B89" t="s">
        <v>106</v>
      </c>
      <c r="C89" s="1" t="s">
        <v>48</v>
      </c>
      <c r="D89" s="1" t="s">
        <v>56</v>
      </c>
      <c r="E89" s="1" t="s">
        <v>34</v>
      </c>
      <c r="F89" s="11">
        <v>900</v>
      </c>
      <c r="G89" s="1">
        <v>3</v>
      </c>
      <c r="H89" s="1">
        <v>0.15</v>
      </c>
      <c r="I89" s="7">
        <f t="shared" si="1"/>
        <v>2295</v>
      </c>
      <c r="J89" s="1" t="s">
        <v>15</v>
      </c>
      <c r="K89" s="1" t="s">
        <v>19</v>
      </c>
    </row>
    <row r="90" spans="1:11" x14ac:dyDescent="0.35">
      <c r="A90" s="1">
        <v>1089</v>
      </c>
      <c r="B90" t="s">
        <v>82</v>
      </c>
      <c r="C90" s="1" t="s">
        <v>43</v>
      </c>
      <c r="D90" s="1" t="s">
        <v>13</v>
      </c>
      <c r="E90" s="1" t="s">
        <v>14</v>
      </c>
      <c r="F90" s="11">
        <v>1200</v>
      </c>
      <c r="G90" s="1">
        <v>1</v>
      </c>
      <c r="H90" s="1">
        <v>0</v>
      </c>
      <c r="I90" s="7">
        <f t="shared" si="1"/>
        <v>1200</v>
      </c>
      <c r="J90" s="1" t="s">
        <v>15</v>
      </c>
      <c r="K90" s="1" t="s">
        <v>19</v>
      </c>
    </row>
    <row r="91" spans="1:11" x14ac:dyDescent="0.35">
      <c r="A91" s="1">
        <v>1090</v>
      </c>
      <c r="B91" t="s">
        <v>89</v>
      </c>
      <c r="C91" s="1" t="s">
        <v>55</v>
      </c>
      <c r="D91" s="1" t="s">
        <v>38</v>
      </c>
      <c r="E91" s="1" t="s">
        <v>14</v>
      </c>
      <c r="F91" s="11">
        <v>5000</v>
      </c>
      <c r="G91" s="1">
        <v>4</v>
      </c>
      <c r="H91" s="1">
        <v>0.05</v>
      </c>
      <c r="I91" s="7">
        <f t="shared" si="1"/>
        <v>19000</v>
      </c>
      <c r="J91" s="1" t="s">
        <v>18</v>
      </c>
      <c r="K91" s="1" t="s">
        <v>19</v>
      </c>
    </row>
    <row r="92" spans="1:11" x14ac:dyDescent="0.35">
      <c r="A92" s="1">
        <v>1091</v>
      </c>
      <c r="B92" t="s">
        <v>107</v>
      </c>
      <c r="C92" s="1" t="s">
        <v>12</v>
      </c>
      <c r="D92" s="1" t="s">
        <v>38</v>
      </c>
      <c r="E92" s="1" t="s">
        <v>14</v>
      </c>
      <c r="F92" s="11">
        <v>5000</v>
      </c>
      <c r="G92" s="1">
        <v>1</v>
      </c>
      <c r="H92" s="1">
        <v>0.1</v>
      </c>
      <c r="I92" s="7">
        <f t="shared" si="1"/>
        <v>4500</v>
      </c>
      <c r="J92" s="1" t="s">
        <v>26</v>
      </c>
      <c r="K92" s="1" t="s">
        <v>19</v>
      </c>
    </row>
    <row r="93" spans="1:11" x14ac:dyDescent="0.35">
      <c r="A93" s="1">
        <v>1092</v>
      </c>
      <c r="B93" t="s">
        <v>46</v>
      </c>
      <c r="C93" s="1" t="s">
        <v>32</v>
      </c>
      <c r="D93" s="1" t="s">
        <v>56</v>
      </c>
      <c r="E93" s="1" t="s">
        <v>34</v>
      </c>
      <c r="F93" s="11">
        <v>900</v>
      </c>
      <c r="G93" s="1">
        <v>3</v>
      </c>
      <c r="H93" s="1">
        <v>0.1</v>
      </c>
      <c r="I93" s="7">
        <f t="shared" si="1"/>
        <v>2430</v>
      </c>
      <c r="J93" s="1" t="s">
        <v>30</v>
      </c>
      <c r="K93" s="1" t="s">
        <v>16</v>
      </c>
    </row>
    <row r="94" spans="1:11" x14ac:dyDescent="0.35">
      <c r="A94" s="1">
        <v>1093</v>
      </c>
      <c r="B94" t="s">
        <v>89</v>
      </c>
      <c r="C94" s="1" t="s">
        <v>37</v>
      </c>
      <c r="D94" s="1" t="s">
        <v>28</v>
      </c>
      <c r="E94" s="1" t="s">
        <v>29</v>
      </c>
      <c r="F94" s="11">
        <v>4500</v>
      </c>
      <c r="G94" s="1">
        <v>4</v>
      </c>
      <c r="H94" s="1">
        <v>0.2</v>
      </c>
      <c r="I94" s="7">
        <f t="shared" si="1"/>
        <v>14400</v>
      </c>
      <c r="J94" s="1" t="s">
        <v>18</v>
      </c>
      <c r="K94" s="1" t="s">
        <v>16</v>
      </c>
    </row>
    <row r="95" spans="1:11" x14ac:dyDescent="0.35">
      <c r="A95" s="1">
        <v>1094</v>
      </c>
      <c r="B95" t="s">
        <v>108</v>
      </c>
      <c r="C95" s="1" t="s">
        <v>43</v>
      </c>
      <c r="D95" s="1" t="s">
        <v>28</v>
      </c>
      <c r="E95" s="1" t="s">
        <v>29</v>
      </c>
      <c r="F95" s="11">
        <v>4500</v>
      </c>
      <c r="G95" s="1">
        <v>3</v>
      </c>
      <c r="H95" s="1">
        <v>0.05</v>
      </c>
      <c r="I95" s="7">
        <f t="shared" si="1"/>
        <v>12825</v>
      </c>
      <c r="J95" s="1" t="s">
        <v>18</v>
      </c>
      <c r="K95" s="1" t="s">
        <v>16</v>
      </c>
    </row>
    <row r="96" spans="1:11" x14ac:dyDescent="0.35">
      <c r="A96" s="1">
        <v>1095</v>
      </c>
      <c r="B96" t="s">
        <v>44</v>
      </c>
      <c r="C96" s="1" t="s">
        <v>51</v>
      </c>
      <c r="D96" s="1" t="s">
        <v>25</v>
      </c>
      <c r="E96" s="1" t="s">
        <v>14</v>
      </c>
      <c r="F96" s="11">
        <v>2200</v>
      </c>
      <c r="G96" s="1">
        <v>4</v>
      </c>
      <c r="H96" s="1">
        <v>0.05</v>
      </c>
      <c r="I96" s="7">
        <f t="shared" si="1"/>
        <v>8360</v>
      </c>
      <c r="J96" s="1" t="s">
        <v>15</v>
      </c>
      <c r="K96" s="1" t="s">
        <v>19</v>
      </c>
    </row>
    <row r="97" spans="1:11" x14ac:dyDescent="0.35">
      <c r="A97" s="1">
        <v>1096</v>
      </c>
      <c r="B97" t="s">
        <v>106</v>
      </c>
      <c r="C97" s="1" t="s">
        <v>48</v>
      </c>
      <c r="D97" s="1" t="s">
        <v>13</v>
      </c>
      <c r="E97" s="1" t="s">
        <v>14</v>
      </c>
      <c r="F97" s="11">
        <v>1200</v>
      </c>
      <c r="G97" s="1">
        <v>5</v>
      </c>
      <c r="H97" s="1">
        <v>0.05</v>
      </c>
      <c r="I97" s="7">
        <f t="shared" si="1"/>
        <v>5700</v>
      </c>
      <c r="J97" s="1" t="s">
        <v>30</v>
      </c>
      <c r="K97" s="1" t="s">
        <v>19</v>
      </c>
    </row>
    <row r="98" spans="1:11" x14ac:dyDescent="0.35">
      <c r="A98" s="1">
        <v>1097</v>
      </c>
      <c r="B98" t="s">
        <v>109</v>
      </c>
      <c r="C98" s="1" t="s">
        <v>40</v>
      </c>
      <c r="D98" s="1" t="s">
        <v>13</v>
      </c>
      <c r="E98" s="1" t="s">
        <v>14</v>
      </c>
      <c r="F98" s="11">
        <v>1200</v>
      </c>
      <c r="G98" s="1">
        <v>2</v>
      </c>
      <c r="H98" s="1">
        <v>0</v>
      </c>
      <c r="I98" s="7">
        <f t="shared" si="1"/>
        <v>2400</v>
      </c>
      <c r="J98" s="1" t="s">
        <v>18</v>
      </c>
      <c r="K98" s="1" t="s">
        <v>19</v>
      </c>
    </row>
    <row r="99" spans="1:11" x14ac:dyDescent="0.35">
      <c r="A99" s="1">
        <v>1098</v>
      </c>
      <c r="B99" t="s">
        <v>110</v>
      </c>
      <c r="C99" s="1" t="s">
        <v>48</v>
      </c>
      <c r="D99" s="1" t="s">
        <v>28</v>
      </c>
      <c r="E99" s="1" t="s">
        <v>29</v>
      </c>
      <c r="F99" s="11">
        <v>4500</v>
      </c>
      <c r="G99" s="1">
        <v>3</v>
      </c>
      <c r="H99" s="1">
        <v>0.05</v>
      </c>
      <c r="I99" s="7">
        <f t="shared" si="1"/>
        <v>12825</v>
      </c>
      <c r="J99" s="1" t="s">
        <v>26</v>
      </c>
      <c r="K99" s="1" t="s">
        <v>35</v>
      </c>
    </row>
    <row r="100" spans="1:11" x14ac:dyDescent="0.35">
      <c r="A100" s="1">
        <v>1099</v>
      </c>
      <c r="B100" t="s">
        <v>41</v>
      </c>
      <c r="C100" s="1" t="s">
        <v>24</v>
      </c>
      <c r="D100" s="1" t="s">
        <v>25</v>
      </c>
      <c r="E100" s="1" t="s">
        <v>14</v>
      </c>
      <c r="F100" s="11">
        <v>2200</v>
      </c>
      <c r="G100" s="1">
        <v>5</v>
      </c>
      <c r="H100" s="1">
        <v>0.2</v>
      </c>
      <c r="I100" s="7">
        <f t="shared" si="1"/>
        <v>8800</v>
      </c>
      <c r="J100" s="1" t="s">
        <v>18</v>
      </c>
      <c r="K100" s="1" t="s">
        <v>16</v>
      </c>
    </row>
    <row r="101" spans="1:11" x14ac:dyDescent="0.35">
      <c r="A101" s="1">
        <v>1100</v>
      </c>
      <c r="B101" t="s">
        <v>17</v>
      </c>
      <c r="C101" s="1" t="s">
        <v>48</v>
      </c>
      <c r="D101" s="1" t="s">
        <v>56</v>
      </c>
      <c r="E101" s="1" t="s">
        <v>34</v>
      </c>
      <c r="F101" s="11">
        <v>900</v>
      </c>
      <c r="G101" s="1">
        <v>4</v>
      </c>
      <c r="H101" s="1">
        <v>0.2</v>
      </c>
      <c r="I101" s="7">
        <f t="shared" si="1"/>
        <v>2880</v>
      </c>
      <c r="J101" s="1" t="s">
        <v>30</v>
      </c>
      <c r="K101" s="1" t="s">
        <v>19</v>
      </c>
    </row>
    <row r="102" spans="1:11" x14ac:dyDescent="0.35">
      <c r="A102" s="1">
        <v>1101</v>
      </c>
      <c r="B102" t="s">
        <v>111</v>
      </c>
      <c r="C102" s="1" t="s">
        <v>67</v>
      </c>
      <c r="D102" s="1" t="s">
        <v>28</v>
      </c>
      <c r="E102" s="1" t="s">
        <v>29</v>
      </c>
      <c r="F102" s="11">
        <v>4500</v>
      </c>
      <c r="G102" s="1">
        <v>1</v>
      </c>
      <c r="H102" s="1">
        <v>0.1</v>
      </c>
      <c r="I102" s="7">
        <f t="shared" si="1"/>
        <v>4050</v>
      </c>
      <c r="J102" s="1" t="s">
        <v>18</v>
      </c>
      <c r="K102" s="1" t="s">
        <v>35</v>
      </c>
    </row>
    <row r="103" spans="1:11" x14ac:dyDescent="0.35">
      <c r="A103" s="1">
        <v>1102</v>
      </c>
      <c r="B103" t="s">
        <v>112</v>
      </c>
      <c r="C103" s="1" t="s">
        <v>48</v>
      </c>
      <c r="D103" s="1" t="s">
        <v>56</v>
      </c>
      <c r="E103" s="1" t="s">
        <v>34</v>
      </c>
      <c r="F103" s="11">
        <v>900</v>
      </c>
      <c r="G103" s="1">
        <v>3</v>
      </c>
      <c r="H103" s="1">
        <v>0.05</v>
      </c>
      <c r="I103" s="7">
        <f t="shared" si="1"/>
        <v>2565</v>
      </c>
      <c r="J103" s="1" t="s">
        <v>30</v>
      </c>
      <c r="K103" s="1" t="s">
        <v>19</v>
      </c>
    </row>
    <row r="104" spans="1:11" x14ac:dyDescent="0.35">
      <c r="A104" s="1">
        <v>1103</v>
      </c>
      <c r="B104" t="s">
        <v>113</v>
      </c>
      <c r="C104" s="1" t="s">
        <v>40</v>
      </c>
      <c r="D104" s="1" t="s">
        <v>28</v>
      </c>
      <c r="E104" s="1" t="s">
        <v>29</v>
      </c>
      <c r="F104" s="11">
        <v>4500</v>
      </c>
      <c r="G104" s="1">
        <v>3</v>
      </c>
      <c r="H104" s="1">
        <v>0.1</v>
      </c>
      <c r="I104" s="7">
        <f t="shared" si="1"/>
        <v>12150</v>
      </c>
      <c r="J104" s="1" t="s">
        <v>15</v>
      </c>
      <c r="K104" s="1" t="s">
        <v>19</v>
      </c>
    </row>
    <row r="105" spans="1:11" x14ac:dyDescent="0.35">
      <c r="A105" s="1">
        <v>1104</v>
      </c>
      <c r="B105" t="s">
        <v>114</v>
      </c>
      <c r="C105" s="1" t="s">
        <v>67</v>
      </c>
      <c r="D105" s="1" t="s">
        <v>56</v>
      </c>
      <c r="E105" s="1" t="s">
        <v>34</v>
      </c>
      <c r="F105" s="11">
        <v>900</v>
      </c>
      <c r="G105" s="1">
        <v>4</v>
      </c>
      <c r="H105" s="1">
        <v>0.05</v>
      </c>
      <c r="I105" s="7">
        <f t="shared" si="1"/>
        <v>3420</v>
      </c>
      <c r="J105" s="1" t="s">
        <v>45</v>
      </c>
      <c r="K105" s="1" t="s">
        <v>16</v>
      </c>
    </row>
    <row r="106" spans="1:11" x14ac:dyDescent="0.35">
      <c r="A106" s="1">
        <v>1105</v>
      </c>
      <c r="B106" t="s">
        <v>115</v>
      </c>
      <c r="C106" s="1" t="s">
        <v>12</v>
      </c>
      <c r="D106" s="1" t="s">
        <v>25</v>
      </c>
      <c r="E106" s="1" t="s">
        <v>14</v>
      </c>
      <c r="F106" s="11">
        <v>2200</v>
      </c>
      <c r="G106" s="1">
        <v>5</v>
      </c>
      <c r="H106" s="1">
        <v>0</v>
      </c>
      <c r="I106" s="7">
        <f t="shared" si="1"/>
        <v>11000</v>
      </c>
      <c r="J106" s="1" t="s">
        <v>30</v>
      </c>
      <c r="K106" s="1" t="s">
        <v>35</v>
      </c>
    </row>
    <row r="107" spans="1:11" x14ac:dyDescent="0.35">
      <c r="A107" s="1">
        <v>1106</v>
      </c>
      <c r="B107" t="s">
        <v>62</v>
      </c>
      <c r="C107" s="1" t="s">
        <v>51</v>
      </c>
      <c r="D107" s="1" t="s">
        <v>25</v>
      </c>
      <c r="E107" s="1" t="s">
        <v>14</v>
      </c>
      <c r="F107" s="11">
        <v>2200</v>
      </c>
      <c r="G107" s="1">
        <v>2</v>
      </c>
      <c r="H107" s="1">
        <v>0.05</v>
      </c>
      <c r="I107" s="7">
        <f t="shared" si="1"/>
        <v>4180</v>
      </c>
      <c r="J107" s="1" t="s">
        <v>26</v>
      </c>
      <c r="K107" s="1" t="s">
        <v>35</v>
      </c>
    </row>
    <row r="108" spans="1:11" x14ac:dyDescent="0.35">
      <c r="A108" s="1">
        <v>1107</v>
      </c>
      <c r="B108" t="s">
        <v>116</v>
      </c>
      <c r="C108" s="1" t="s">
        <v>67</v>
      </c>
      <c r="D108" s="1" t="s">
        <v>56</v>
      </c>
      <c r="E108" s="1" t="s">
        <v>34</v>
      </c>
      <c r="F108" s="11">
        <v>900</v>
      </c>
      <c r="G108" s="1">
        <v>1</v>
      </c>
      <c r="H108" s="1">
        <v>0.1</v>
      </c>
      <c r="I108" s="7">
        <f t="shared" si="1"/>
        <v>810</v>
      </c>
      <c r="J108" s="1" t="s">
        <v>45</v>
      </c>
      <c r="K108" s="1" t="s">
        <v>35</v>
      </c>
    </row>
    <row r="109" spans="1:11" x14ac:dyDescent="0.35">
      <c r="A109" s="1">
        <v>1108</v>
      </c>
      <c r="B109" t="s">
        <v>109</v>
      </c>
      <c r="C109" s="1" t="s">
        <v>37</v>
      </c>
      <c r="D109" s="1" t="s">
        <v>25</v>
      </c>
      <c r="E109" s="1" t="s">
        <v>14</v>
      </c>
      <c r="F109" s="11">
        <v>2200</v>
      </c>
      <c r="G109" s="1">
        <v>4</v>
      </c>
      <c r="H109" s="1">
        <v>0.2</v>
      </c>
      <c r="I109" s="7">
        <f t="shared" si="1"/>
        <v>7040</v>
      </c>
      <c r="J109" s="1" t="s">
        <v>30</v>
      </c>
      <c r="K109" s="1" t="s">
        <v>35</v>
      </c>
    </row>
    <row r="110" spans="1:11" x14ac:dyDescent="0.35">
      <c r="A110" s="1">
        <v>1109</v>
      </c>
      <c r="B110" t="s">
        <v>110</v>
      </c>
      <c r="C110" s="1" t="s">
        <v>55</v>
      </c>
      <c r="D110" s="1" t="s">
        <v>33</v>
      </c>
      <c r="E110" s="1" t="s">
        <v>14</v>
      </c>
      <c r="F110" s="11">
        <v>2800</v>
      </c>
      <c r="G110" s="1">
        <v>3</v>
      </c>
      <c r="H110" s="1">
        <v>0.15</v>
      </c>
      <c r="I110" s="7">
        <f t="shared" si="1"/>
        <v>7140</v>
      </c>
      <c r="J110" s="1" t="s">
        <v>30</v>
      </c>
      <c r="K110" s="1" t="s">
        <v>35</v>
      </c>
    </row>
    <row r="111" spans="1:11" x14ac:dyDescent="0.35">
      <c r="A111" s="1">
        <v>1110</v>
      </c>
      <c r="B111" t="s">
        <v>117</v>
      </c>
      <c r="C111" s="1" t="s">
        <v>37</v>
      </c>
      <c r="D111" s="1" t="s">
        <v>25</v>
      </c>
      <c r="E111" s="1" t="s">
        <v>14</v>
      </c>
      <c r="F111" s="11">
        <v>2200</v>
      </c>
      <c r="G111" s="1">
        <v>3</v>
      </c>
      <c r="H111" s="1">
        <v>0</v>
      </c>
      <c r="I111" s="7">
        <f t="shared" si="1"/>
        <v>6600</v>
      </c>
      <c r="J111" s="1" t="s">
        <v>45</v>
      </c>
      <c r="K111" s="1" t="s">
        <v>16</v>
      </c>
    </row>
    <row r="112" spans="1:11" x14ac:dyDescent="0.35">
      <c r="A112" s="1">
        <v>1111</v>
      </c>
      <c r="B112" t="s">
        <v>118</v>
      </c>
      <c r="C112" s="1" t="s">
        <v>24</v>
      </c>
      <c r="D112" s="1" t="s">
        <v>13</v>
      </c>
      <c r="E112" s="1" t="s">
        <v>14</v>
      </c>
      <c r="F112" s="11">
        <v>1200</v>
      </c>
      <c r="G112" s="1">
        <v>1</v>
      </c>
      <c r="H112" s="1">
        <v>0.2</v>
      </c>
      <c r="I112" s="7">
        <f t="shared" si="1"/>
        <v>960</v>
      </c>
      <c r="J112" s="1" t="s">
        <v>30</v>
      </c>
      <c r="K112" s="1" t="s">
        <v>16</v>
      </c>
    </row>
    <row r="113" spans="1:11" x14ac:dyDescent="0.35">
      <c r="A113" s="1">
        <v>1112</v>
      </c>
      <c r="B113" t="s">
        <v>87</v>
      </c>
      <c r="C113" s="1" t="s">
        <v>24</v>
      </c>
      <c r="D113" s="1" t="s">
        <v>38</v>
      </c>
      <c r="E113" s="1" t="s">
        <v>14</v>
      </c>
      <c r="F113" s="11">
        <v>5000</v>
      </c>
      <c r="G113" s="1">
        <v>1</v>
      </c>
      <c r="H113" s="1">
        <v>0.05</v>
      </c>
      <c r="I113" s="7">
        <f t="shared" si="1"/>
        <v>4750</v>
      </c>
      <c r="J113" s="1" t="s">
        <v>26</v>
      </c>
      <c r="K113" s="1" t="s">
        <v>35</v>
      </c>
    </row>
    <row r="114" spans="1:11" x14ac:dyDescent="0.35">
      <c r="A114" s="1">
        <v>1113</v>
      </c>
      <c r="B114" t="s">
        <v>95</v>
      </c>
      <c r="C114" s="1" t="s">
        <v>67</v>
      </c>
      <c r="D114" s="1" t="s">
        <v>13</v>
      </c>
      <c r="E114" s="1" t="s">
        <v>14</v>
      </c>
      <c r="F114" s="11">
        <v>1200</v>
      </c>
      <c r="G114" s="1">
        <v>5</v>
      </c>
      <c r="H114" s="1">
        <v>0.15</v>
      </c>
      <c r="I114" s="7">
        <f t="shared" si="1"/>
        <v>5100</v>
      </c>
      <c r="J114" s="1" t="s">
        <v>26</v>
      </c>
      <c r="K114" s="1" t="s">
        <v>35</v>
      </c>
    </row>
    <row r="115" spans="1:11" x14ac:dyDescent="0.35">
      <c r="A115" s="1">
        <v>1114</v>
      </c>
      <c r="B115" t="s">
        <v>119</v>
      </c>
      <c r="C115" s="1" t="s">
        <v>12</v>
      </c>
      <c r="D115" s="1" t="s">
        <v>21</v>
      </c>
      <c r="E115" s="1" t="s">
        <v>22</v>
      </c>
      <c r="F115" s="11">
        <v>3500</v>
      </c>
      <c r="G115" s="1">
        <v>5</v>
      </c>
      <c r="H115" s="1">
        <v>0</v>
      </c>
      <c r="I115" s="7">
        <f t="shared" si="1"/>
        <v>17500</v>
      </c>
      <c r="J115" s="1" t="s">
        <v>15</v>
      </c>
      <c r="K115" s="1" t="s">
        <v>35</v>
      </c>
    </row>
    <row r="116" spans="1:11" x14ac:dyDescent="0.35">
      <c r="A116" s="1">
        <v>1115</v>
      </c>
      <c r="B116" t="s">
        <v>87</v>
      </c>
      <c r="C116" s="1" t="s">
        <v>67</v>
      </c>
      <c r="D116" s="1" t="s">
        <v>13</v>
      </c>
      <c r="E116" s="1" t="s">
        <v>14</v>
      </c>
      <c r="F116" s="11">
        <v>1200</v>
      </c>
      <c r="G116" s="1">
        <v>5</v>
      </c>
      <c r="H116" s="1">
        <v>0</v>
      </c>
      <c r="I116" s="7">
        <f t="shared" si="1"/>
        <v>6000</v>
      </c>
      <c r="J116" s="1" t="s">
        <v>26</v>
      </c>
      <c r="K116" s="1" t="s">
        <v>16</v>
      </c>
    </row>
    <row r="117" spans="1:11" x14ac:dyDescent="0.35">
      <c r="A117" s="1">
        <v>1116</v>
      </c>
      <c r="B117" t="s">
        <v>120</v>
      </c>
      <c r="C117" s="1" t="s">
        <v>32</v>
      </c>
      <c r="D117" s="1" t="s">
        <v>25</v>
      </c>
      <c r="E117" s="1" t="s">
        <v>14</v>
      </c>
      <c r="F117" s="11">
        <v>2200</v>
      </c>
      <c r="G117" s="1">
        <v>3</v>
      </c>
      <c r="H117" s="1">
        <v>0.2</v>
      </c>
      <c r="I117" s="7">
        <f t="shared" si="1"/>
        <v>5280</v>
      </c>
      <c r="J117" s="1" t="s">
        <v>30</v>
      </c>
      <c r="K117" s="1" t="s">
        <v>19</v>
      </c>
    </row>
    <row r="118" spans="1:11" x14ac:dyDescent="0.35">
      <c r="A118" s="1">
        <v>1117</v>
      </c>
      <c r="B118" t="s">
        <v>121</v>
      </c>
      <c r="C118" s="1" t="s">
        <v>55</v>
      </c>
      <c r="D118" s="1" t="s">
        <v>13</v>
      </c>
      <c r="E118" s="1" t="s">
        <v>14</v>
      </c>
      <c r="F118" s="11">
        <v>1200</v>
      </c>
      <c r="G118" s="1">
        <v>2</v>
      </c>
      <c r="H118" s="1">
        <v>0.05</v>
      </c>
      <c r="I118" s="7">
        <f t="shared" si="1"/>
        <v>2280</v>
      </c>
      <c r="J118" s="1" t="s">
        <v>15</v>
      </c>
      <c r="K118" s="1" t="s">
        <v>35</v>
      </c>
    </row>
    <row r="119" spans="1:11" x14ac:dyDescent="0.35">
      <c r="A119" s="1">
        <v>1118</v>
      </c>
      <c r="B119" t="s">
        <v>122</v>
      </c>
      <c r="C119" s="1" t="s">
        <v>48</v>
      </c>
      <c r="D119" s="1" t="s">
        <v>21</v>
      </c>
      <c r="E119" s="1" t="s">
        <v>22</v>
      </c>
      <c r="F119" s="11">
        <v>3500</v>
      </c>
      <c r="G119" s="1">
        <v>1</v>
      </c>
      <c r="H119" s="1">
        <v>0.2</v>
      </c>
      <c r="I119" s="7">
        <f t="shared" si="1"/>
        <v>2800</v>
      </c>
      <c r="J119" s="1" t="s">
        <v>30</v>
      </c>
      <c r="K119" s="1" t="s">
        <v>16</v>
      </c>
    </row>
    <row r="120" spans="1:11" x14ac:dyDescent="0.35">
      <c r="A120" s="1">
        <v>1119</v>
      </c>
      <c r="B120" t="s">
        <v>123</v>
      </c>
      <c r="C120" s="1" t="s">
        <v>67</v>
      </c>
      <c r="D120" s="1" t="s">
        <v>28</v>
      </c>
      <c r="E120" s="1" t="s">
        <v>29</v>
      </c>
      <c r="F120" s="11">
        <v>4500</v>
      </c>
      <c r="G120" s="1">
        <v>2</v>
      </c>
      <c r="H120" s="1">
        <v>0</v>
      </c>
      <c r="I120" s="7">
        <f t="shared" si="1"/>
        <v>9000</v>
      </c>
      <c r="J120" s="1" t="s">
        <v>18</v>
      </c>
      <c r="K120" s="1" t="s">
        <v>19</v>
      </c>
    </row>
    <row r="121" spans="1:11" x14ac:dyDescent="0.35">
      <c r="A121" s="1">
        <v>1120</v>
      </c>
      <c r="B121" t="s">
        <v>123</v>
      </c>
      <c r="C121" s="1" t="s">
        <v>40</v>
      </c>
      <c r="D121" s="1" t="s">
        <v>13</v>
      </c>
      <c r="E121" s="1" t="s">
        <v>14</v>
      </c>
      <c r="F121" s="11">
        <v>1200</v>
      </c>
      <c r="G121" s="1">
        <v>1</v>
      </c>
      <c r="H121" s="1">
        <v>0.05</v>
      </c>
      <c r="I121" s="7">
        <f t="shared" si="1"/>
        <v>1140</v>
      </c>
      <c r="J121" s="1" t="s">
        <v>45</v>
      </c>
      <c r="K121" s="1" t="s">
        <v>35</v>
      </c>
    </row>
    <row r="122" spans="1:11" x14ac:dyDescent="0.35">
      <c r="A122" s="1">
        <v>1121</v>
      </c>
      <c r="B122" t="s">
        <v>23</v>
      </c>
      <c r="C122" s="1" t="s">
        <v>40</v>
      </c>
      <c r="D122" s="1" t="s">
        <v>13</v>
      </c>
      <c r="E122" s="1" t="s">
        <v>14</v>
      </c>
      <c r="F122" s="11">
        <v>1200</v>
      </c>
      <c r="G122" s="1">
        <v>2</v>
      </c>
      <c r="H122" s="1">
        <v>0.1</v>
      </c>
      <c r="I122" s="7">
        <f t="shared" si="1"/>
        <v>2160</v>
      </c>
      <c r="J122" s="1" t="s">
        <v>30</v>
      </c>
      <c r="K122" s="1" t="s">
        <v>19</v>
      </c>
    </row>
    <row r="123" spans="1:11" x14ac:dyDescent="0.35">
      <c r="A123" s="1">
        <v>1122</v>
      </c>
      <c r="B123" t="s">
        <v>124</v>
      </c>
      <c r="C123" s="1" t="s">
        <v>32</v>
      </c>
      <c r="D123" s="1" t="s">
        <v>28</v>
      </c>
      <c r="E123" s="1" t="s">
        <v>29</v>
      </c>
      <c r="F123" s="11">
        <v>4500</v>
      </c>
      <c r="G123" s="1">
        <v>1</v>
      </c>
      <c r="H123" s="1">
        <v>0.15</v>
      </c>
      <c r="I123" s="7">
        <f t="shared" si="1"/>
        <v>3825</v>
      </c>
      <c r="J123" s="1" t="s">
        <v>26</v>
      </c>
      <c r="K123" s="1" t="s">
        <v>19</v>
      </c>
    </row>
    <row r="124" spans="1:11" x14ac:dyDescent="0.35">
      <c r="A124" s="1">
        <v>1123</v>
      </c>
      <c r="B124" t="s">
        <v>125</v>
      </c>
      <c r="C124" s="1" t="s">
        <v>12</v>
      </c>
      <c r="D124" s="1" t="s">
        <v>38</v>
      </c>
      <c r="E124" s="1" t="s">
        <v>14</v>
      </c>
      <c r="F124" s="11">
        <v>5000</v>
      </c>
      <c r="G124" s="1">
        <v>5</v>
      </c>
      <c r="H124" s="1">
        <v>0.1</v>
      </c>
      <c r="I124" s="7">
        <f t="shared" si="1"/>
        <v>22500</v>
      </c>
      <c r="J124" s="1" t="s">
        <v>26</v>
      </c>
      <c r="K124" s="1" t="s">
        <v>16</v>
      </c>
    </row>
    <row r="125" spans="1:11" x14ac:dyDescent="0.35">
      <c r="A125" s="1">
        <v>1124</v>
      </c>
      <c r="B125" t="s">
        <v>101</v>
      </c>
      <c r="C125" s="1" t="s">
        <v>43</v>
      </c>
      <c r="D125" s="1" t="s">
        <v>28</v>
      </c>
      <c r="E125" s="1" t="s">
        <v>29</v>
      </c>
      <c r="F125" s="11">
        <v>4500</v>
      </c>
      <c r="G125" s="1">
        <v>2</v>
      </c>
      <c r="H125" s="1">
        <v>0</v>
      </c>
      <c r="I125" s="7">
        <f t="shared" si="1"/>
        <v>9000</v>
      </c>
      <c r="J125" s="1" t="s">
        <v>26</v>
      </c>
      <c r="K125" s="1" t="s">
        <v>19</v>
      </c>
    </row>
    <row r="126" spans="1:11" x14ac:dyDescent="0.35">
      <c r="A126" s="1">
        <v>1125</v>
      </c>
      <c r="B126" t="s">
        <v>60</v>
      </c>
      <c r="C126" s="1" t="s">
        <v>43</v>
      </c>
      <c r="D126" s="1" t="s">
        <v>25</v>
      </c>
      <c r="E126" s="1" t="s">
        <v>14</v>
      </c>
      <c r="F126" s="11">
        <v>2200</v>
      </c>
      <c r="G126" s="1">
        <v>3</v>
      </c>
      <c r="H126" s="1">
        <v>0.15</v>
      </c>
      <c r="I126" s="7">
        <f t="shared" si="1"/>
        <v>5610</v>
      </c>
      <c r="J126" s="1" t="s">
        <v>45</v>
      </c>
      <c r="K126" s="1" t="s">
        <v>19</v>
      </c>
    </row>
    <row r="127" spans="1:11" x14ac:dyDescent="0.35">
      <c r="A127" s="1">
        <v>1126</v>
      </c>
      <c r="B127" t="s">
        <v>126</v>
      </c>
      <c r="C127" s="1" t="s">
        <v>48</v>
      </c>
      <c r="D127" s="1" t="s">
        <v>25</v>
      </c>
      <c r="E127" s="1" t="s">
        <v>14</v>
      </c>
      <c r="F127" s="11">
        <v>2200</v>
      </c>
      <c r="G127" s="1">
        <v>4</v>
      </c>
      <c r="H127" s="1">
        <v>0.15</v>
      </c>
      <c r="I127" s="7">
        <f t="shared" si="1"/>
        <v>7480</v>
      </c>
      <c r="J127" s="1" t="s">
        <v>26</v>
      </c>
      <c r="K127" s="1" t="s">
        <v>35</v>
      </c>
    </row>
    <row r="128" spans="1:11" x14ac:dyDescent="0.35">
      <c r="A128" s="1">
        <v>1127</v>
      </c>
      <c r="B128" t="s">
        <v>20</v>
      </c>
      <c r="C128" s="1" t="s">
        <v>67</v>
      </c>
      <c r="D128" s="1" t="s">
        <v>13</v>
      </c>
      <c r="E128" s="1" t="s">
        <v>14</v>
      </c>
      <c r="F128" s="11">
        <v>1200</v>
      </c>
      <c r="G128" s="1">
        <v>3</v>
      </c>
      <c r="H128" s="1">
        <v>0.2</v>
      </c>
      <c r="I128" s="7">
        <f t="shared" si="1"/>
        <v>2880</v>
      </c>
      <c r="J128" s="1" t="s">
        <v>18</v>
      </c>
      <c r="K128" s="1" t="s">
        <v>16</v>
      </c>
    </row>
    <row r="129" spans="1:11" x14ac:dyDescent="0.35">
      <c r="A129" s="1">
        <v>1128</v>
      </c>
      <c r="B129" t="s">
        <v>127</v>
      </c>
      <c r="C129" s="1" t="s">
        <v>51</v>
      </c>
      <c r="D129" s="1" t="s">
        <v>13</v>
      </c>
      <c r="E129" s="1" t="s">
        <v>14</v>
      </c>
      <c r="F129" s="11">
        <v>1200</v>
      </c>
      <c r="G129" s="1">
        <v>2</v>
      </c>
      <c r="H129" s="1">
        <v>0.15</v>
      </c>
      <c r="I129" s="7">
        <f t="shared" si="1"/>
        <v>2040</v>
      </c>
      <c r="J129" s="1" t="s">
        <v>30</v>
      </c>
      <c r="K129" s="1" t="s">
        <v>19</v>
      </c>
    </row>
    <row r="130" spans="1:11" x14ac:dyDescent="0.35">
      <c r="A130" s="1">
        <v>1129</v>
      </c>
      <c r="B130" t="s">
        <v>128</v>
      </c>
      <c r="C130" s="1" t="s">
        <v>12</v>
      </c>
      <c r="D130" s="1" t="s">
        <v>33</v>
      </c>
      <c r="E130" s="1" t="s">
        <v>14</v>
      </c>
      <c r="F130" s="11">
        <v>2800</v>
      </c>
      <c r="G130" s="1">
        <v>2</v>
      </c>
      <c r="H130" s="1">
        <v>0.05</v>
      </c>
      <c r="I130" s="7">
        <f t="shared" si="1"/>
        <v>5320</v>
      </c>
      <c r="J130" s="1" t="s">
        <v>18</v>
      </c>
      <c r="K130" s="1" t="s">
        <v>35</v>
      </c>
    </row>
    <row r="131" spans="1:11" x14ac:dyDescent="0.35">
      <c r="A131" s="1">
        <v>1130</v>
      </c>
      <c r="B131" t="s">
        <v>90</v>
      </c>
      <c r="C131" s="1" t="s">
        <v>43</v>
      </c>
      <c r="D131" s="1" t="s">
        <v>13</v>
      </c>
      <c r="E131" s="1" t="s">
        <v>14</v>
      </c>
      <c r="F131" s="11">
        <v>1200</v>
      </c>
      <c r="G131" s="1">
        <v>1</v>
      </c>
      <c r="H131" s="1">
        <v>0.2</v>
      </c>
      <c r="I131" s="7">
        <f t="shared" ref="I131:I194" si="2">(F131*G131)*(1-H131)</f>
        <v>960</v>
      </c>
      <c r="J131" s="1" t="s">
        <v>15</v>
      </c>
      <c r="K131" s="1" t="s">
        <v>35</v>
      </c>
    </row>
    <row r="132" spans="1:11" x14ac:dyDescent="0.35">
      <c r="A132" s="1">
        <v>1131</v>
      </c>
      <c r="B132" t="s">
        <v>129</v>
      </c>
      <c r="C132" s="1" t="s">
        <v>43</v>
      </c>
      <c r="D132" s="1" t="s">
        <v>33</v>
      </c>
      <c r="E132" s="1" t="s">
        <v>14</v>
      </c>
      <c r="F132" s="11">
        <v>2800</v>
      </c>
      <c r="G132" s="1">
        <v>4</v>
      </c>
      <c r="H132" s="1">
        <v>0.15</v>
      </c>
      <c r="I132" s="7">
        <f t="shared" si="2"/>
        <v>9520</v>
      </c>
      <c r="J132" s="1" t="s">
        <v>45</v>
      </c>
      <c r="K132" s="1" t="s">
        <v>35</v>
      </c>
    </row>
    <row r="133" spans="1:11" x14ac:dyDescent="0.35">
      <c r="A133" s="1">
        <v>1132</v>
      </c>
      <c r="B133" t="s">
        <v>46</v>
      </c>
      <c r="C133" s="1" t="s">
        <v>12</v>
      </c>
      <c r="D133" s="1" t="s">
        <v>13</v>
      </c>
      <c r="E133" s="1" t="s">
        <v>14</v>
      </c>
      <c r="F133" s="11">
        <v>1200</v>
      </c>
      <c r="G133" s="1">
        <v>5</v>
      </c>
      <c r="H133" s="1">
        <v>0.05</v>
      </c>
      <c r="I133" s="7">
        <f t="shared" si="2"/>
        <v>5700</v>
      </c>
      <c r="J133" s="1" t="s">
        <v>45</v>
      </c>
      <c r="K133" s="1" t="s">
        <v>16</v>
      </c>
    </row>
    <row r="134" spans="1:11" x14ac:dyDescent="0.35">
      <c r="A134" s="1">
        <v>1133</v>
      </c>
      <c r="B134" t="s">
        <v>70</v>
      </c>
      <c r="C134" s="1" t="s">
        <v>48</v>
      </c>
      <c r="D134" s="1" t="s">
        <v>25</v>
      </c>
      <c r="E134" s="1" t="s">
        <v>14</v>
      </c>
      <c r="F134" s="11">
        <v>2200</v>
      </c>
      <c r="G134" s="1">
        <v>2</v>
      </c>
      <c r="H134" s="1">
        <v>0.2</v>
      </c>
      <c r="I134" s="7">
        <f t="shared" si="2"/>
        <v>3520</v>
      </c>
      <c r="J134" s="1" t="s">
        <v>18</v>
      </c>
      <c r="K134" s="1" t="s">
        <v>16</v>
      </c>
    </row>
    <row r="135" spans="1:11" x14ac:dyDescent="0.35">
      <c r="A135" s="1">
        <v>1134</v>
      </c>
      <c r="B135" t="s">
        <v>130</v>
      </c>
      <c r="C135" s="1" t="s">
        <v>37</v>
      </c>
      <c r="D135" s="1" t="s">
        <v>13</v>
      </c>
      <c r="E135" s="1" t="s">
        <v>14</v>
      </c>
      <c r="F135" s="11">
        <v>1200</v>
      </c>
      <c r="G135" s="1">
        <v>2</v>
      </c>
      <c r="H135" s="1">
        <v>0.2</v>
      </c>
      <c r="I135" s="7">
        <f t="shared" si="2"/>
        <v>1920</v>
      </c>
      <c r="J135" s="1" t="s">
        <v>30</v>
      </c>
      <c r="K135" s="1" t="s">
        <v>16</v>
      </c>
    </row>
    <row r="136" spans="1:11" x14ac:dyDescent="0.35">
      <c r="A136" s="1">
        <v>1135</v>
      </c>
      <c r="B136" t="s">
        <v>113</v>
      </c>
      <c r="C136" s="1" t="s">
        <v>32</v>
      </c>
      <c r="D136" s="1" t="s">
        <v>13</v>
      </c>
      <c r="E136" s="1" t="s">
        <v>14</v>
      </c>
      <c r="F136" s="11">
        <v>1200</v>
      </c>
      <c r="G136" s="1">
        <v>2</v>
      </c>
      <c r="H136" s="1">
        <v>0.15</v>
      </c>
      <c r="I136" s="7">
        <f t="shared" si="2"/>
        <v>2040</v>
      </c>
      <c r="J136" s="1" t="s">
        <v>26</v>
      </c>
      <c r="K136" s="1" t="s">
        <v>19</v>
      </c>
    </row>
    <row r="137" spans="1:11" x14ac:dyDescent="0.35">
      <c r="A137" s="1">
        <v>1136</v>
      </c>
      <c r="B137" t="s">
        <v>111</v>
      </c>
      <c r="C137" s="1" t="s">
        <v>48</v>
      </c>
      <c r="D137" s="1" t="s">
        <v>25</v>
      </c>
      <c r="E137" s="1" t="s">
        <v>14</v>
      </c>
      <c r="F137" s="11">
        <v>2200</v>
      </c>
      <c r="G137" s="1">
        <v>1</v>
      </c>
      <c r="H137" s="1">
        <v>0.15</v>
      </c>
      <c r="I137" s="7">
        <f t="shared" si="2"/>
        <v>1870</v>
      </c>
      <c r="J137" s="1" t="s">
        <v>45</v>
      </c>
      <c r="K137" s="1" t="s">
        <v>19</v>
      </c>
    </row>
    <row r="138" spans="1:11" x14ac:dyDescent="0.35">
      <c r="A138" s="1">
        <v>1137</v>
      </c>
      <c r="B138" t="s">
        <v>42</v>
      </c>
      <c r="C138" s="1" t="s">
        <v>67</v>
      </c>
      <c r="D138" s="1" t="s">
        <v>56</v>
      </c>
      <c r="E138" s="1" t="s">
        <v>34</v>
      </c>
      <c r="F138" s="11">
        <v>900</v>
      </c>
      <c r="G138" s="1">
        <v>2</v>
      </c>
      <c r="H138" s="1">
        <v>0.05</v>
      </c>
      <c r="I138" s="7">
        <f t="shared" si="2"/>
        <v>1710</v>
      </c>
      <c r="J138" s="1" t="s">
        <v>30</v>
      </c>
      <c r="K138" s="1" t="s">
        <v>19</v>
      </c>
    </row>
    <row r="139" spans="1:11" x14ac:dyDescent="0.35">
      <c r="A139" s="1">
        <v>1138</v>
      </c>
      <c r="B139" t="s">
        <v>131</v>
      </c>
      <c r="C139" s="1" t="s">
        <v>43</v>
      </c>
      <c r="D139" s="1" t="s">
        <v>21</v>
      </c>
      <c r="E139" s="1" t="s">
        <v>22</v>
      </c>
      <c r="F139" s="11">
        <v>3500</v>
      </c>
      <c r="G139" s="1">
        <v>1</v>
      </c>
      <c r="H139" s="1">
        <v>0</v>
      </c>
      <c r="I139" s="7">
        <f t="shared" si="2"/>
        <v>3500</v>
      </c>
      <c r="J139" s="1" t="s">
        <v>18</v>
      </c>
      <c r="K139" s="1" t="s">
        <v>35</v>
      </c>
    </row>
    <row r="140" spans="1:11" x14ac:dyDescent="0.35">
      <c r="A140" s="1">
        <v>1139</v>
      </c>
      <c r="B140" t="s">
        <v>132</v>
      </c>
      <c r="C140" s="1" t="s">
        <v>51</v>
      </c>
      <c r="D140" s="1" t="s">
        <v>21</v>
      </c>
      <c r="E140" s="1" t="s">
        <v>22</v>
      </c>
      <c r="F140" s="11">
        <v>3500</v>
      </c>
      <c r="G140" s="1">
        <v>5</v>
      </c>
      <c r="H140" s="1">
        <v>0</v>
      </c>
      <c r="I140" s="7">
        <f t="shared" si="2"/>
        <v>17500</v>
      </c>
      <c r="J140" s="1" t="s">
        <v>26</v>
      </c>
      <c r="K140" s="1" t="s">
        <v>16</v>
      </c>
    </row>
    <row r="141" spans="1:11" x14ac:dyDescent="0.35">
      <c r="A141" s="1">
        <v>1140</v>
      </c>
      <c r="B141" t="s">
        <v>133</v>
      </c>
      <c r="C141" s="1" t="s">
        <v>24</v>
      </c>
      <c r="D141" s="1" t="s">
        <v>33</v>
      </c>
      <c r="E141" s="1" t="s">
        <v>14</v>
      </c>
      <c r="F141" s="11">
        <v>2800</v>
      </c>
      <c r="G141" s="1">
        <v>5</v>
      </c>
      <c r="H141" s="1">
        <v>0.05</v>
      </c>
      <c r="I141" s="7">
        <f t="shared" si="2"/>
        <v>13300</v>
      </c>
      <c r="J141" s="1" t="s">
        <v>18</v>
      </c>
      <c r="K141" s="1" t="s">
        <v>19</v>
      </c>
    </row>
    <row r="142" spans="1:11" x14ac:dyDescent="0.35">
      <c r="A142" s="1">
        <v>1141</v>
      </c>
      <c r="B142" t="s">
        <v>134</v>
      </c>
      <c r="C142" s="1" t="s">
        <v>40</v>
      </c>
      <c r="D142" s="1" t="s">
        <v>56</v>
      </c>
      <c r="E142" s="1" t="s">
        <v>34</v>
      </c>
      <c r="F142" s="11">
        <v>900</v>
      </c>
      <c r="G142" s="1">
        <v>4</v>
      </c>
      <c r="H142" s="1">
        <v>0.05</v>
      </c>
      <c r="I142" s="7">
        <f t="shared" si="2"/>
        <v>3420</v>
      </c>
      <c r="J142" s="1" t="s">
        <v>18</v>
      </c>
      <c r="K142" s="1" t="s">
        <v>19</v>
      </c>
    </row>
    <row r="143" spans="1:11" x14ac:dyDescent="0.35">
      <c r="A143" s="1">
        <v>1142</v>
      </c>
      <c r="B143" t="s">
        <v>135</v>
      </c>
      <c r="C143" s="1" t="s">
        <v>24</v>
      </c>
      <c r="D143" s="1" t="s">
        <v>28</v>
      </c>
      <c r="E143" s="1" t="s">
        <v>29</v>
      </c>
      <c r="F143" s="11">
        <v>4500</v>
      </c>
      <c r="G143" s="1">
        <v>5</v>
      </c>
      <c r="H143" s="1">
        <v>0.1</v>
      </c>
      <c r="I143" s="7">
        <f t="shared" si="2"/>
        <v>20250</v>
      </c>
      <c r="J143" s="1" t="s">
        <v>26</v>
      </c>
      <c r="K143" s="1" t="s">
        <v>19</v>
      </c>
    </row>
    <row r="144" spans="1:11" x14ac:dyDescent="0.35">
      <c r="A144" s="1">
        <v>1143</v>
      </c>
      <c r="B144" t="s">
        <v>136</v>
      </c>
      <c r="C144" s="1" t="s">
        <v>55</v>
      </c>
      <c r="D144" s="1" t="s">
        <v>21</v>
      </c>
      <c r="E144" s="1" t="s">
        <v>22</v>
      </c>
      <c r="F144" s="11">
        <v>3500</v>
      </c>
      <c r="G144" s="1">
        <v>1</v>
      </c>
      <c r="H144" s="1">
        <v>0</v>
      </c>
      <c r="I144" s="7">
        <f t="shared" si="2"/>
        <v>3500</v>
      </c>
      <c r="J144" s="1" t="s">
        <v>30</v>
      </c>
      <c r="K144" s="1" t="s">
        <v>16</v>
      </c>
    </row>
    <row r="145" spans="1:11" x14ac:dyDescent="0.35">
      <c r="A145" s="1">
        <v>1144</v>
      </c>
      <c r="B145" t="s">
        <v>112</v>
      </c>
      <c r="C145" s="1" t="s">
        <v>32</v>
      </c>
      <c r="D145" s="1" t="s">
        <v>25</v>
      </c>
      <c r="E145" s="1" t="s">
        <v>14</v>
      </c>
      <c r="F145" s="11">
        <v>2200</v>
      </c>
      <c r="G145" s="1">
        <v>5</v>
      </c>
      <c r="H145" s="1">
        <v>0.05</v>
      </c>
      <c r="I145" s="7">
        <f t="shared" si="2"/>
        <v>10450</v>
      </c>
      <c r="J145" s="1" t="s">
        <v>30</v>
      </c>
      <c r="K145" s="1" t="s">
        <v>35</v>
      </c>
    </row>
    <row r="146" spans="1:11" x14ac:dyDescent="0.35">
      <c r="A146" s="1">
        <v>1145</v>
      </c>
      <c r="B146" t="s">
        <v>128</v>
      </c>
      <c r="C146" s="1" t="s">
        <v>12</v>
      </c>
      <c r="D146" s="1" t="s">
        <v>33</v>
      </c>
      <c r="E146" s="1" t="s">
        <v>14</v>
      </c>
      <c r="F146" s="11">
        <v>2800</v>
      </c>
      <c r="G146" s="1">
        <v>1</v>
      </c>
      <c r="H146" s="1">
        <v>0.05</v>
      </c>
      <c r="I146" s="7">
        <f t="shared" si="2"/>
        <v>2660</v>
      </c>
      <c r="J146" s="1" t="s">
        <v>30</v>
      </c>
      <c r="K146" s="1" t="s">
        <v>35</v>
      </c>
    </row>
    <row r="147" spans="1:11" x14ac:dyDescent="0.35">
      <c r="A147" s="1">
        <v>1146</v>
      </c>
      <c r="B147" t="s">
        <v>137</v>
      </c>
      <c r="C147" s="1" t="s">
        <v>24</v>
      </c>
      <c r="D147" s="1" t="s">
        <v>13</v>
      </c>
      <c r="E147" s="1" t="s">
        <v>14</v>
      </c>
      <c r="F147" s="11">
        <v>1200</v>
      </c>
      <c r="G147" s="1">
        <v>4</v>
      </c>
      <c r="H147" s="1">
        <v>0.1</v>
      </c>
      <c r="I147" s="7">
        <f t="shared" si="2"/>
        <v>4320</v>
      </c>
      <c r="J147" s="1" t="s">
        <v>15</v>
      </c>
      <c r="K147" s="1" t="s">
        <v>35</v>
      </c>
    </row>
    <row r="148" spans="1:11" x14ac:dyDescent="0.35">
      <c r="A148" s="1">
        <v>1147</v>
      </c>
      <c r="B148" t="s">
        <v>138</v>
      </c>
      <c r="C148" s="1" t="s">
        <v>48</v>
      </c>
      <c r="D148" s="1" t="s">
        <v>38</v>
      </c>
      <c r="E148" s="1" t="s">
        <v>14</v>
      </c>
      <c r="F148" s="11">
        <v>5000</v>
      </c>
      <c r="G148" s="1">
        <v>4</v>
      </c>
      <c r="H148" s="1">
        <v>0</v>
      </c>
      <c r="I148" s="7">
        <f t="shared" si="2"/>
        <v>20000</v>
      </c>
      <c r="J148" s="1" t="s">
        <v>26</v>
      </c>
      <c r="K148" s="1" t="s">
        <v>35</v>
      </c>
    </row>
    <row r="149" spans="1:11" x14ac:dyDescent="0.35">
      <c r="A149" s="1">
        <v>1148</v>
      </c>
      <c r="B149" t="s">
        <v>50</v>
      </c>
      <c r="C149" s="1" t="s">
        <v>51</v>
      </c>
      <c r="D149" s="1" t="s">
        <v>56</v>
      </c>
      <c r="E149" s="1" t="s">
        <v>34</v>
      </c>
      <c r="F149" s="11">
        <v>900</v>
      </c>
      <c r="G149" s="1">
        <v>1</v>
      </c>
      <c r="H149" s="1">
        <v>0.15</v>
      </c>
      <c r="I149" s="7">
        <f t="shared" si="2"/>
        <v>765</v>
      </c>
      <c r="J149" s="1" t="s">
        <v>30</v>
      </c>
      <c r="K149" s="1" t="s">
        <v>16</v>
      </c>
    </row>
    <row r="150" spans="1:11" x14ac:dyDescent="0.35">
      <c r="A150" s="1">
        <v>1149</v>
      </c>
      <c r="B150" t="s">
        <v>47</v>
      </c>
      <c r="C150" s="1" t="s">
        <v>43</v>
      </c>
      <c r="D150" s="1" t="s">
        <v>13</v>
      </c>
      <c r="E150" s="1" t="s">
        <v>14</v>
      </c>
      <c r="F150" s="11">
        <v>1200</v>
      </c>
      <c r="G150" s="1">
        <v>3</v>
      </c>
      <c r="H150" s="1">
        <v>0.1</v>
      </c>
      <c r="I150" s="7">
        <f t="shared" si="2"/>
        <v>3240</v>
      </c>
      <c r="J150" s="1" t="s">
        <v>15</v>
      </c>
      <c r="K150" s="1" t="s">
        <v>16</v>
      </c>
    </row>
    <row r="151" spans="1:11" x14ac:dyDescent="0.35">
      <c r="A151" s="1">
        <v>1150</v>
      </c>
      <c r="B151" t="s">
        <v>39</v>
      </c>
      <c r="C151" s="1" t="s">
        <v>51</v>
      </c>
      <c r="D151" s="1" t="s">
        <v>38</v>
      </c>
      <c r="E151" s="1" t="s">
        <v>14</v>
      </c>
      <c r="F151" s="11">
        <v>5000</v>
      </c>
      <c r="G151" s="1">
        <v>2</v>
      </c>
      <c r="H151" s="1">
        <v>0.05</v>
      </c>
      <c r="I151" s="7">
        <f t="shared" si="2"/>
        <v>9500</v>
      </c>
      <c r="J151" s="1" t="s">
        <v>15</v>
      </c>
      <c r="K151" s="1" t="s">
        <v>35</v>
      </c>
    </row>
    <row r="152" spans="1:11" x14ac:dyDescent="0.35">
      <c r="A152" s="1">
        <v>1151</v>
      </c>
      <c r="B152" t="s">
        <v>139</v>
      </c>
      <c r="C152" s="1" t="s">
        <v>12</v>
      </c>
      <c r="D152" s="1" t="s">
        <v>13</v>
      </c>
      <c r="E152" s="1" t="s">
        <v>14</v>
      </c>
      <c r="F152" s="11">
        <v>1200</v>
      </c>
      <c r="G152" s="1">
        <v>1</v>
      </c>
      <c r="H152" s="1">
        <v>0.1</v>
      </c>
      <c r="I152" s="7">
        <f t="shared" si="2"/>
        <v>1080</v>
      </c>
      <c r="J152" s="1" t="s">
        <v>45</v>
      </c>
      <c r="K152" s="1" t="s">
        <v>35</v>
      </c>
    </row>
    <row r="153" spans="1:11" x14ac:dyDescent="0.35">
      <c r="A153" s="1">
        <v>1152</v>
      </c>
      <c r="B153" t="s">
        <v>140</v>
      </c>
      <c r="C153" s="1" t="s">
        <v>24</v>
      </c>
      <c r="D153" s="1" t="s">
        <v>13</v>
      </c>
      <c r="E153" s="1" t="s">
        <v>14</v>
      </c>
      <c r="F153" s="11">
        <v>1200</v>
      </c>
      <c r="G153" s="1">
        <v>1</v>
      </c>
      <c r="H153" s="1">
        <v>0.2</v>
      </c>
      <c r="I153" s="7">
        <f t="shared" si="2"/>
        <v>960</v>
      </c>
      <c r="J153" s="1" t="s">
        <v>26</v>
      </c>
      <c r="K153" s="1" t="s">
        <v>16</v>
      </c>
    </row>
    <row r="154" spans="1:11" x14ac:dyDescent="0.35">
      <c r="A154" s="1">
        <v>1153</v>
      </c>
      <c r="B154" t="s">
        <v>141</v>
      </c>
      <c r="C154" s="1" t="s">
        <v>48</v>
      </c>
      <c r="D154" s="1" t="s">
        <v>33</v>
      </c>
      <c r="E154" s="1" t="s">
        <v>14</v>
      </c>
      <c r="F154" s="11">
        <v>2800</v>
      </c>
      <c r="G154" s="1">
        <v>4</v>
      </c>
      <c r="H154" s="1">
        <v>0.15</v>
      </c>
      <c r="I154" s="7">
        <f t="shared" si="2"/>
        <v>9520</v>
      </c>
      <c r="J154" s="1" t="s">
        <v>18</v>
      </c>
      <c r="K154" s="1" t="s">
        <v>35</v>
      </c>
    </row>
    <row r="155" spans="1:11" x14ac:dyDescent="0.35">
      <c r="A155" s="1">
        <v>1154</v>
      </c>
      <c r="B155" t="s">
        <v>138</v>
      </c>
      <c r="C155" s="1" t="s">
        <v>12</v>
      </c>
      <c r="D155" s="1" t="s">
        <v>33</v>
      </c>
      <c r="E155" s="1" t="s">
        <v>14</v>
      </c>
      <c r="F155" s="11">
        <v>2800</v>
      </c>
      <c r="G155" s="1">
        <v>1</v>
      </c>
      <c r="H155" s="1">
        <v>0.05</v>
      </c>
      <c r="I155" s="7">
        <f t="shared" si="2"/>
        <v>2660</v>
      </c>
      <c r="J155" s="1" t="s">
        <v>15</v>
      </c>
      <c r="K155" s="1" t="s">
        <v>19</v>
      </c>
    </row>
    <row r="156" spans="1:11" x14ac:dyDescent="0.35">
      <c r="A156" s="1">
        <v>1155</v>
      </c>
      <c r="B156" t="s">
        <v>115</v>
      </c>
      <c r="C156" s="1" t="s">
        <v>43</v>
      </c>
      <c r="D156" s="1" t="s">
        <v>25</v>
      </c>
      <c r="E156" s="1" t="s">
        <v>14</v>
      </c>
      <c r="F156" s="11">
        <v>2200</v>
      </c>
      <c r="G156" s="1">
        <v>4</v>
      </c>
      <c r="H156" s="1">
        <v>0.15</v>
      </c>
      <c r="I156" s="7">
        <f t="shared" si="2"/>
        <v>7480</v>
      </c>
      <c r="J156" s="1" t="s">
        <v>26</v>
      </c>
      <c r="K156" s="1" t="s">
        <v>16</v>
      </c>
    </row>
    <row r="157" spans="1:11" x14ac:dyDescent="0.35">
      <c r="A157" s="1">
        <v>1156</v>
      </c>
      <c r="B157" t="s">
        <v>109</v>
      </c>
      <c r="C157" s="1" t="s">
        <v>32</v>
      </c>
      <c r="D157" s="1" t="s">
        <v>25</v>
      </c>
      <c r="E157" s="1" t="s">
        <v>14</v>
      </c>
      <c r="F157" s="11">
        <v>2200</v>
      </c>
      <c r="G157" s="1">
        <v>1</v>
      </c>
      <c r="H157" s="1">
        <v>0.05</v>
      </c>
      <c r="I157" s="7">
        <f t="shared" si="2"/>
        <v>2090</v>
      </c>
      <c r="J157" s="1" t="s">
        <v>18</v>
      </c>
      <c r="K157" s="1" t="s">
        <v>35</v>
      </c>
    </row>
    <row r="158" spans="1:11" x14ac:dyDescent="0.35">
      <c r="A158" s="1">
        <v>1157</v>
      </c>
      <c r="B158" t="s">
        <v>142</v>
      </c>
      <c r="C158" s="1" t="s">
        <v>32</v>
      </c>
      <c r="D158" s="1" t="s">
        <v>21</v>
      </c>
      <c r="E158" s="1" t="s">
        <v>22</v>
      </c>
      <c r="F158" s="11">
        <v>3500</v>
      </c>
      <c r="G158" s="1">
        <v>2</v>
      </c>
      <c r="H158" s="1">
        <v>0.2</v>
      </c>
      <c r="I158" s="7">
        <f t="shared" si="2"/>
        <v>5600</v>
      </c>
      <c r="J158" s="1" t="s">
        <v>18</v>
      </c>
      <c r="K158" s="1" t="s">
        <v>35</v>
      </c>
    </row>
    <row r="159" spans="1:11" x14ac:dyDescent="0.35">
      <c r="A159" s="1">
        <v>1158</v>
      </c>
      <c r="B159" t="s">
        <v>133</v>
      </c>
      <c r="C159" s="1" t="s">
        <v>51</v>
      </c>
      <c r="D159" s="1" t="s">
        <v>28</v>
      </c>
      <c r="E159" s="1" t="s">
        <v>29</v>
      </c>
      <c r="F159" s="11">
        <v>4500</v>
      </c>
      <c r="G159" s="1">
        <v>4</v>
      </c>
      <c r="H159" s="1">
        <v>0.1</v>
      </c>
      <c r="I159" s="7">
        <f t="shared" si="2"/>
        <v>16200</v>
      </c>
      <c r="J159" s="1" t="s">
        <v>30</v>
      </c>
      <c r="K159" s="1" t="s">
        <v>35</v>
      </c>
    </row>
    <row r="160" spans="1:11" x14ac:dyDescent="0.35">
      <c r="A160" s="1">
        <v>1159</v>
      </c>
      <c r="B160" t="s">
        <v>143</v>
      </c>
      <c r="C160" s="1" t="s">
        <v>12</v>
      </c>
      <c r="D160" s="1" t="s">
        <v>28</v>
      </c>
      <c r="E160" s="1" t="s">
        <v>29</v>
      </c>
      <c r="F160" s="11">
        <v>4500</v>
      </c>
      <c r="G160" s="1">
        <v>1</v>
      </c>
      <c r="H160" s="1">
        <v>0.2</v>
      </c>
      <c r="I160" s="7">
        <f t="shared" si="2"/>
        <v>3600</v>
      </c>
      <c r="J160" s="1" t="s">
        <v>45</v>
      </c>
      <c r="K160" s="1" t="s">
        <v>35</v>
      </c>
    </row>
    <row r="161" spans="1:11" x14ac:dyDescent="0.35">
      <c r="A161" s="1">
        <v>1160</v>
      </c>
      <c r="B161" t="s">
        <v>123</v>
      </c>
      <c r="C161" s="1" t="s">
        <v>37</v>
      </c>
      <c r="D161" s="1" t="s">
        <v>38</v>
      </c>
      <c r="E161" s="1" t="s">
        <v>14</v>
      </c>
      <c r="F161" s="11">
        <v>5000</v>
      </c>
      <c r="G161" s="1">
        <v>3</v>
      </c>
      <c r="H161" s="1">
        <v>0.1</v>
      </c>
      <c r="I161" s="7">
        <f t="shared" si="2"/>
        <v>13500</v>
      </c>
      <c r="J161" s="1" t="s">
        <v>15</v>
      </c>
      <c r="K161" s="1" t="s">
        <v>16</v>
      </c>
    </row>
    <row r="162" spans="1:11" x14ac:dyDescent="0.35">
      <c r="A162" s="1">
        <v>1161</v>
      </c>
      <c r="B162" t="s">
        <v>119</v>
      </c>
      <c r="C162" s="1" t="s">
        <v>55</v>
      </c>
      <c r="D162" s="1" t="s">
        <v>13</v>
      </c>
      <c r="E162" s="1" t="s">
        <v>14</v>
      </c>
      <c r="F162" s="11">
        <v>1200</v>
      </c>
      <c r="G162" s="1">
        <v>3</v>
      </c>
      <c r="H162" s="1">
        <v>0.2</v>
      </c>
      <c r="I162" s="7">
        <f t="shared" si="2"/>
        <v>2880</v>
      </c>
      <c r="J162" s="1" t="s">
        <v>18</v>
      </c>
      <c r="K162" s="1" t="s">
        <v>16</v>
      </c>
    </row>
    <row r="163" spans="1:11" x14ac:dyDescent="0.35">
      <c r="A163" s="1">
        <v>1162</v>
      </c>
      <c r="B163" t="s">
        <v>133</v>
      </c>
      <c r="C163" s="1" t="s">
        <v>43</v>
      </c>
      <c r="D163" s="1" t="s">
        <v>25</v>
      </c>
      <c r="E163" s="1" t="s">
        <v>14</v>
      </c>
      <c r="F163" s="11">
        <v>2200</v>
      </c>
      <c r="G163" s="1">
        <v>4</v>
      </c>
      <c r="H163" s="1">
        <v>0.15</v>
      </c>
      <c r="I163" s="7">
        <f t="shared" si="2"/>
        <v>7480</v>
      </c>
      <c r="J163" s="1" t="s">
        <v>45</v>
      </c>
      <c r="K163" s="1" t="s">
        <v>16</v>
      </c>
    </row>
    <row r="164" spans="1:11" x14ac:dyDescent="0.35">
      <c r="A164" s="1">
        <v>1163</v>
      </c>
      <c r="B164" t="s">
        <v>144</v>
      </c>
      <c r="C164" s="1" t="s">
        <v>51</v>
      </c>
      <c r="D164" s="1" t="s">
        <v>28</v>
      </c>
      <c r="E164" s="1" t="s">
        <v>29</v>
      </c>
      <c r="F164" s="11">
        <v>4500</v>
      </c>
      <c r="G164" s="1">
        <v>2</v>
      </c>
      <c r="H164" s="1">
        <v>0.1</v>
      </c>
      <c r="I164" s="7">
        <f t="shared" si="2"/>
        <v>8100</v>
      </c>
      <c r="J164" s="1" t="s">
        <v>30</v>
      </c>
      <c r="K164" s="1" t="s">
        <v>35</v>
      </c>
    </row>
    <row r="165" spans="1:11" x14ac:dyDescent="0.35">
      <c r="A165" s="1">
        <v>1164</v>
      </c>
      <c r="B165" t="s">
        <v>145</v>
      </c>
      <c r="C165" s="1" t="s">
        <v>32</v>
      </c>
      <c r="D165" s="1" t="s">
        <v>25</v>
      </c>
      <c r="E165" s="1" t="s">
        <v>14</v>
      </c>
      <c r="F165" s="11">
        <v>2200</v>
      </c>
      <c r="G165" s="1">
        <v>1</v>
      </c>
      <c r="H165" s="1">
        <v>0.2</v>
      </c>
      <c r="I165" s="7">
        <f t="shared" si="2"/>
        <v>1760</v>
      </c>
      <c r="J165" s="1" t="s">
        <v>15</v>
      </c>
      <c r="K165" s="1" t="s">
        <v>16</v>
      </c>
    </row>
    <row r="166" spans="1:11" x14ac:dyDescent="0.35">
      <c r="A166" s="1">
        <v>1165</v>
      </c>
      <c r="B166" t="s">
        <v>42</v>
      </c>
      <c r="C166" s="1" t="s">
        <v>67</v>
      </c>
      <c r="D166" s="1" t="s">
        <v>21</v>
      </c>
      <c r="E166" s="1" t="s">
        <v>22</v>
      </c>
      <c r="F166" s="11">
        <v>3500</v>
      </c>
      <c r="G166" s="1">
        <v>4</v>
      </c>
      <c r="H166" s="1">
        <v>0.1</v>
      </c>
      <c r="I166" s="7">
        <f t="shared" si="2"/>
        <v>12600</v>
      </c>
      <c r="J166" s="1" t="s">
        <v>45</v>
      </c>
      <c r="K166" s="1" t="s">
        <v>35</v>
      </c>
    </row>
    <row r="167" spans="1:11" x14ac:dyDescent="0.35">
      <c r="A167" s="1">
        <v>1166</v>
      </c>
      <c r="B167" t="s">
        <v>146</v>
      </c>
      <c r="C167" s="1" t="s">
        <v>32</v>
      </c>
      <c r="D167" s="1" t="s">
        <v>13</v>
      </c>
      <c r="E167" s="1" t="s">
        <v>14</v>
      </c>
      <c r="F167" s="11">
        <v>1200</v>
      </c>
      <c r="G167" s="1">
        <v>1</v>
      </c>
      <c r="H167" s="1">
        <v>0</v>
      </c>
      <c r="I167" s="7">
        <f t="shared" si="2"/>
        <v>1200</v>
      </c>
      <c r="J167" s="1" t="s">
        <v>18</v>
      </c>
      <c r="K167" s="1" t="s">
        <v>19</v>
      </c>
    </row>
    <row r="168" spans="1:11" x14ac:dyDescent="0.35">
      <c r="A168" s="1">
        <v>1167</v>
      </c>
      <c r="B168" t="s">
        <v>79</v>
      </c>
      <c r="C168" s="1" t="s">
        <v>24</v>
      </c>
      <c r="D168" s="1" t="s">
        <v>25</v>
      </c>
      <c r="E168" s="1" t="s">
        <v>14</v>
      </c>
      <c r="F168" s="11">
        <v>2200</v>
      </c>
      <c r="G168" s="1">
        <v>4</v>
      </c>
      <c r="H168" s="1">
        <v>0.15</v>
      </c>
      <c r="I168" s="7">
        <f t="shared" si="2"/>
        <v>7480</v>
      </c>
      <c r="J168" s="1" t="s">
        <v>45</v>
      </c>
      <c r="K168" s="1" t="s">
        <v>16</v>
      </c>
    </row>
    <row r="169" spans="1:11" x14ac:dyDescent="0.35">
      <c r="A169" s="1">
        <v>1168</v>
      </c>
      <c r="B169" t="s">
        <v>31</v>
      </c>
      <c r="C169" s="1" t="s">
        <v>43</v>
      </c>
      <c r="D169" s="1" t="s">
        <v>38</v>
      </c>
      <c r="E169" s="1" t="s">
        <v>14</v>
      </c>
      <c r="F169" s="11">
        <v>5000</v>
      </c>
      <c r="G169" s="1">
        <v>2</v>
      </c>
      <c r="H169" s="1">
        <v>0.15</v>
      </c>
      <c r="I169" s="7">
        <f t="shared" si="2"/>
        <v>8500</v>
      </c>
      <c r="J169" s="1" t="s">
        <v>30</v>
      </c>
      <c r="K169" s="1" t="s">
        <v>19</v>
      </c>
    </row>
    <row r="170" spans="1:11" x14ac:dyDescent="0.35">
      <c r="A170" s="1">
        <v>1169</v>
      </c>
      <c r="B170" t="s">
        <v>140</v>
      </c>
      <c r="C170" s="1" t="s">
        <v>51</v>
      </c>
      <c r="D170" s="1" t="s">
        <v>21</v>
      </c>
      <c r="E170" s="1" t="s">
        <v>22</v>
      </c>
      <c r="F170" s="11">
        <v>3500</v>
      </c>
      <c r="G170" s="1">
        <v>3</v>
      </c>
      <c r="H170" s="1">
        <v>0.1</v>
      </c>
      <c r="I170" s="7">
        <f t="shared" si="2"/>
        <v>9450</v>
      </c>
      <c r="J170" s="1" t="s">
        <v>18</v>
      </c>
      <c r="K170" s="1" t="s">
        <v>19</v>
      </c>
    </row>
    <row r="171" spans="1:11" x14ac:dyDescent="0.35">
      <c r="A171" s="1">
        <v>1170</v>
      </c>
      <c r="B171" t="s">
        <v>39</v>
      </c>
      <c r="C171" s="1" t="s">
        <v>67</v>
      </c>
      <c r="D171" s="1" t="s">
        <v>56</v>
      </c>
      <c r="E171" s="1" t="s">
        <v>34</v>
      </c>
      <c r="F171" s="11">
        <v>900</v>
      </c>
      <c r="G171" s="1">
        <v>1</v>
      </c>
      <c r="H171" s="1">
        <v>0.1</v>
      </c>
      <c r="I171" s="7">
        <f t="shared" si="2"/>
        <v>810</v>
      </c>
      <c r="J171" s="1" t="s">
        <v>26</v>
      </c>
      <c r="K171" s="1" t="s">
        <v>16</v>
      </c>
    </row>
    <row r="172" spans="1:11" x14ac:dyDescent="0.35">
      <c r="A172" s="1">
        <v>1171</v>
      </c>
      <c r="B172" t="s">
        <v>147</v>
      </c>
      <c r="C172" s="1" t="s">
        <v>12</v>
      </c>
      <c r="D172" s="1" t="s">
        <v>38</v>
      </c>
      <c r="E172" s="1" t="s">
        <v>14</v>
      </c>
      <c r="F172" s="11">
        <v>5000</v>
      </c>
      <c r="G172" s="1">
        <v>3</v>
      </c>
      <c r="H172" s="1">
        <v>0.05</v>
      </c>
      <c r="I172" s="7">
        <f t="shared" si="2"/>
        <v>14250</v>
      </c>
      <c r="J172" s="1" t="s">
        <v>18</v>
      </c>
      <c r="K172" s="1" t="s">
        <v>35</v>
      </c>
    </row>
    <row r="173" spans="1:11" x14ac:dyDescent="0.35">
      <c r="A173" s="1">
        <v>1172</v>
      </c>
      <c r="B173" t="s">
        <v>148</v>
      </c>
      <c r="C173" s="1" t="s">
        <v>32</v>
      </c>
      <c r="D173" s="1" t="s">
        <v>13</v>
      </c>
      <c r="E173" s="1" t="s">
        <v>14</v>
      </c>
      <c r="F173" s="11">
        <v>1200</v>
      </c>
      <c r="G173" s="1">
        <v>3</v>
      </c>
      <c r="H173" s="1">
        <v>0</v>
      </c>
      <c r="I173" s="7">
        <f t="shared" si="2"/>
        <v>3600</v>
      </c>
      <c r="J173" s="1" t="s">
        <v>26</v>
      </c>
      <c r="K173" s="1" t="s">
        <v>35</v>
      </c>
    </row>
    <row r="174" spans="1:11" x14ac:dyDescent="0.35">
      <c r="A174" s="1">
        <v>1173</v>
      </c>
      <c r="B174" t="s">
        <v>149</v>
      </c>
      <c r="C174" s="1" t="s">
        <v>24</v>
      </c>
      <c r="D174" s="1" t="s">
        <v>28</v>
      </c>
      <c r="E174" s="1" t="s">
        <v>29</v>
      </c>
      <c r="F174" s="11">
        <v>4500</v>
      </c>
      <c r="G174" s="1">
        <v>5</v>
      </c>
      <c r="H174" s="1">
        <v>0.05</v>
      </c>
      <c r="I174" s="7">
        <f t="shared" si="2"/>
        <v>21375</v>
      </c>
      <c r="J174" s="1" t="s">
        <v>18</v>
      </c>
      <c r="K174" s="1" t="s">
        <v>35</v>
      </c>
    </row>
    <row r="175" spans="1:11" x14ac:dyDescent="0.35">
      <c r="A175" s="1">
        <v>1174</v>
      </c>
      <c r="B175" t="s">
        <v>150</v>
      </c>
      <c r="C175" s="1" t="s">
        <v>67</v>
      </c>
      <c r="D175" s="1" t="s">
        <v>33</v>
      </c>
      <c r="E175" s="1" t="s">
        <v>14</v>
      </c>
      <c r="F175" s="11">
        <v>2800</v>
      </c>
      <c r="G175" s="1">
        <v>3</v>
      </c>
      <c r="H175" s="1">
        <v>0.15</v>
      </c>
      <c r="I175" s="7">
        <f t="shared" si="2"/>
        <v>7140</v>
      </c>
      <c r="J175" s="1" t="s">
        <v>18</v>
      </c>
      <c r="K175" s="1" t="s">
        <v>19</v>
      </c>
    </row>
    <row r="176" spans="1:11" x14ac:dyDescent="0.35">
      <c r="A176" s="1">
        <v>1175</v>
      </c>
      <c r="B176" t="s">
        <v>151</v>
      </c>
      <c r="C176" s="1" t="s">
        <v>12</v>
      </c>
      <c r="D176" s="1" t="s">
        <v>56</v>
      </c>
      <c r="E176" s="1" t="s">
        <v>34</v>
      </c>
      <c r="F176" s="11">
        <v>900</v>
      </c>
      <c r="G176" s="1">
        <v>4</v>
      </c>
      <c r="H176" s="1">
        <v>0.15</v>
      </c>
      <c r="I176" s="7">
        <f t="shared" si="2"/>
        <v>3060</v>
      </c>
      <c r="J176" s="1" t="s">
        <v>26</v>
      </c>
      <c r="K176" s="1" t="s">
        <v>35</v>
      </c>
    </row>
    <row r="177" spans="1:11" x14ac:dyDescent="0.35">
      <c r="A177" s="1">
        <v>1176</v>
      </c>
      <c r="B177" t="s">
        <v>102</v>
      </c>
      <c r="C177" s="1" t="s">
        <v>24</v>
      </c>
      <c r="D177" s="1" t="s">
        <v>21</v>
      </c>
      <c r="E177" s="1" t="s">
        <v>22</v>
      </c>
      <c r="F177" s="11">
        <v>3500</v>
      </c>
      <c r="G177" s="1">
        <v>2</v>
      </c>
      <c r="H177" s="1">
        <v>0.15</v>
      </c>
      <c r="I177" s="7">
        <f t="shared" si="2"/>
        <v>5950</v>
      </c>
      <c r="J177" s="1" t="s">
        <v>15</v>
      </c>
      <c r="K177" s="1" t="s">
        <v>19</v>
      </c>
    </row>
    <row r="178" spans="1:11" x14ac:dyDescent="0.35">
      <c r="A178" s="1">
        <v>1177</v>
      </c>
      <c r="B178" t="s">
        <v>122</v>
      </c>
      <c r="C178" s="1" t="s">
        <v>37</v>
      </c>
      <c r="D178" s="1" t="s">
        <v>33</v>
      </c>
      <c r="E178" s="1" t="s">
        <v>14</v>
      </c>
      <c r="F178" s="11">
        <v>2800</v>
      </c>
      <c r="G178" s="1">
        <v>3</v>
      </c>
      <c r="H178" s="1">
        <v>0.2</v>
      </c>
      <c r="I178" s="7">
        <f t="shared" si="2"/>
        <v>6720</v>
      </c>
      <c r="J178" s="1" t="s">
        <v>15</v>
      </c>
      <c r="K178" s="1" t="s">
        <v>19</v>
      </c>
    </row>
    <row r="179" spans="1:11" x14ac:dyDescent="0.35">
      <c r="A179" s="1">
        <v>1178</v>
      </c>
      <c r="B179" t="s">
        <v>121</v>
      </c>
      <c r="C179" s="1" t="s">
        <v>37</v>
      </c>
      <c r="D179" s="1" t="s">
        <v>21</v>
      </c>
      <c r="E179" s="1" t="s">
        <v>22</v>
      </c>
      <c r="F179" s="11">
        <v>3500</v>
      </c>
      <c r="G179" s="1">
        <v>5</v>
      </c>
      <c r="H179" s="1">
        <v>0.15</v>
      </c>
      <c r="I179" s="7">
        <f t="shared" si="2"/>
        <v>14875</v>
      </c>
      <c r="J179" s="1" t="s">
        <v>18</v>
      </c>
      <c r="K179" s="1" t="s">
        <v>19</v>
      </c>
    </row>
    <row r="180" spans="1:11" x14ac:dyDescent="0.35">
      <c r="A180" s="1">
        <v>1179</v>
      </c>
      <c r="B180" t="s">
        <v>106</v>
      </c>
      <c r="C180" s="1" t="s">
        <v>48</v>
      </c>
      <c r="D180" s="1" t="s">
        <v>25</v>
      </c>
      <c r="E180" s="1" t="s">
        <v>14</v>
      </c>
      <c r="F180" s="11">
        <v>2200</v>
      </c>
      <c r="G180" s="1">
        <v>2</v>
      </c>
      <c r="H180" s="1">
        <v>0</v>
      </c>
      <c r="I180" s="7">
        <f t="shared" si="2"/>
        <v>4400</v>
      </c>
      <c r="J180" s="1" t="s">
        <v>45</v>
      </c>
      <c r="K180" s="1" t="s">
        <v>35</v>
      </c>
    </row>
    <row r="181" spans="1:11" x14ac:dyDescent="0.35">
      <c r="A181" s="1">
        <v>1180</v>
      </c>
      <c r="B181" t="s">
        <v>129</v>
      </c>
      <c r="C181" s="1" t="s">
        <v>40</v>
      </c>
      <c r="D181" s="1" t="s">
        <v>38</v>
      </c>
      <c r="E181" s="1" t="s">
        <v>14</v>
      </c>
      <c r="F181" s="11">
        <v>5000</v>
      </c>
      <c r="G181" s="1">
        <v>5</v>
      </c>
      <c r="H181" s="1">
        <v>0</v>
      </c>
      <c r="I181" s="7">
        <f t="shared" si="2"/>
        <v>25000</v>
      </c>
      <c r="J181" s="1" t="s">
        <v>45</v>
      </c>
      <c r="K181" s="1" t="s">
        <v>19</v>
      </c>
    </row>
    <row r="182" spans="1:11" x14ac:dyDescent="0.35">
      <c r="A182" s="1">
        <v>1181</v>
      </c>
      <c r="B182" t="s">
        <v>102</v>
      </c>
      <c r="C182" s="1" t="s">
        <v>12</v>
      </c>
      <c r="D182" s="1" t="s">
        <v>13</v>
      </c>
      <c r="E182" s="1" t="s">
        <v>14</v>
      </c>
      <c r="F182" s="11">
        <v>1200</v>
      </c>
      <c r="G182" s="1">
        <v>3</v>
      </c>
      <c r="H182" s="1">
        <v>0.1</v>
      </c>
      <c r="I182" s="7">
        <f t="shared" si="2"/>
        <v>3240</v>
      </c>
      <c r="J182" s="1" t="s">
        <v>15</v>
      </c>
      <c r="K182" s="1" t="s">
        <v>16</v>
      </c>
    </row>
    <row r="183" spans="1:11" x14ac:dyDescent="0.35">
      <c r="A183" s="1">
        <v>1182</v>
      </c>
      <c r="B183" t="s">
        <v>136</v>
      </c>
      <c r="C183" s="1" t="s">
        <v>40</v>
      </c>
      <c r="D183" s="1" t="s">
        <v>33</v>
      </c>
      <c r="E183" s="1" t="s">
        <v>14</v>
      </c>
      <c r="F183" s="11">
        <v>2800</v>
      </c>
      <c r="G183" s="1">
        <v>3</v>
      </c>
      <c r="H183" s="1">
        <v>0</v>
      </c>
      <c r="I183" s="7">
        <f t="shared" si="2"/>
        <v>8400</v>
      </c>
      <c r="J183" s="1" t="s">
        <v>18</v>
      </c>
      <c r="K183" s="1" t="s">
        <v>35</v>
      </c>
    </row>
    <row r="184" spans="1:11" x14ac:dyDescent="0.35">
      <c r="A184" s="1">
        <v>1183</v>
      </c>
      <c r="B184" t="s">
        <v>151</v>
      </c>
      <c r="C184" s="1" t="s">
        <v>51</v>
      </c>
      <c r="D184" s="1" t="s">
        <v>38</v>
      </c>
      <c r="E184" s="1" t="s">
        <v>14</v>
      </c>
      <c r="F184" s="11">
        <v>5000</v>
      </c>
      <c r="G184" s="1">
        <v>4</v>
      </c>
      <c r="H184" s="1">
        <v>0</v>
      </c>
      <c r="I184" s="7">
        <f t="shared" si="2"/>
        <v>20000</v>
      </c>
      <c r="J184" s="1" t="s">
        <v>18</v>
      </c>
      <c r="K184" s="1" t="s">
        <v>35</v>
      </c>
    </row>
    <row r="185" spans="1:11" x14ac:dyDescent="0.35">
      <c r="A185" s="1">
        <v>1184</v>
      </c>
      <c r="B185" t="s">
        <v>113</v>
      </c>
      <c r="C185" s="1" t="s">
        <v>32</v>
      </c>
      <c r="D185" s="1" t="s">
        <v>38</v>
      </c>
      <c r="E185" s="1" t="s">
        <v>14</v>
      </c>
      <c r="F185" s="11">
        <v>5000</v>
      </c>
      <c r="G185" s="1">
        <v>3</v>
      </c>
      <c r="H185" s="1">
        <v>0</v>
      </c>
      <c r="I185" s="7">
        <f t="shared" si="2"/>
        <v>15000</v>
      </c>
      <c r="J185" s="1" t="s">
        <v>26</v>
      </c>
      <c r="K185" s="1" t="s">
        <v>16</v>
      </c>
    </row>
    <row r="186" spans="1:11" x14ac:dyDescent="0.35">
      <c r="A186" s="1">
        <v>1185</v>
      </c>
      <c r="B186" t="s">
        <v>152</v>
      </c>
      <c r="C186" s="1" t="s">
        <v>32</v>
      </c>
      <c r="D186" s="1" t="s">
        <v>56</v>
      </c>
      <c r="E186" s="1" t="s">
        <v>34</v>
      </c>
      <c r="F186" s="11">
        <v>900</v>
      </c>
      <c r="G186" s="1">
        <v>2</v>
      </c>
      <c r="H186" s="1">
        <v>0</v>
      </c>
      <c r="I186" s="7">
        <f t="shared" si="2"/>
        <v>1800</v>
      </c>
      <c r="J186" s="1" t="s">
        <v>30</v>
      </c>
      <c r="K186" s="1" t="s">
        <v>35</v>
      </c>
    </row>
    <row r="187" spans="1:11" x14ac:dyDescent="0.35">
      <c r="A187" s="1">
        <v>1186</v>
      </c>
      <c r="B187" t="s">
        <v>92</v>
      </c>
      <c r="C187" s="1" t="s">
        <v>40</v>
      </c>
      <c r="D187" s="1" t="s">
        <v>38</v>
      </c>
      <c r="E187" s="1" t="s">
        <v>14</v>
      </c>
      <c r="F187" s="11">
        <v>5000</v>
      </c>
      <c r="G187" s="1">
        <v>2</v>
      </c>
      <c r="H187" s="1">
        <v>0.15</v>
      </c>
      <c r="I187" s="7">
        <f t="shared" si="2"/>
        <v>8500</v>
      </c>
      <c r="J187" s="1" t="s">
        <v>45</v>
      </c>
      <c r="K187" s="1" t="s">
        <v>35</v>
      </c>
    </row>
    <row r="188" spans="1:11" x14ac:dyDescent="0.35">
      <c r="A188" s="1">
        <v>1187</v>
      </c>
      <c r="B188" t="s">
        <v>119</v>
      </c>
      <c r="C188" s="1" t="s">
        <v>43</v>
      </c>
      <c r="D188" s="1" t="s">
        <v>33</v>
      </c>
      <c r="E188" s="1" t="s">
        <v>14</v>
      </c>
      <c r="F188" s="11">
        <v>2800</v>
      </c>
      <c r="G188" s="1">
        <v>4</v>
      </c>
      <c r="H188" s="1">
        <v>0</v>
      </c>
      <c r="I188" s="7">
        <f t="shared" si="2"/>
        <v>11200</v>
      </c>
      <c r="J188" s="1" t="s">
        <v>45</v>
      </c>
      <c r="K188" s="1" t="s">
        <v>16</v>
      </c>
    </row>
    <row r="189" spans="1:11" x14ac:dyDescent="0.35">
      <c r="A189" s="1">
        <v>1188</v>
      </c>
      <c r="B189" t="s">
        <v>62</v>
      </c>
      <c r="C189" s="1" t="s">
        <v>48</v>
      </c>
      <c r="D189" s="1" t="s">
        <v>28</v>
      </c>
      <c r="E189" s="1" t="s">
        <v>29</v>
      </c>
      <c r="F189" s="11">
        <v>4500</v>
      </c>
      <c r="G189" s="1">
        <v>1</v>
      </c>
      <c r="H189" s="1">
        <v>0.1</v>
      </c>
      <c r="I189" s="7">
        <f t="shared" si="2"/>
        <v>4050</v>
      </c>
      <c r="J189" s="1" t="s">
        <v>15</v>
      </c>
      <c r="K189" s="1" t="s">
        <v>16</v>
      </c>
    </row>
    <row r="190" spans="1:11" x14ac:dyDescent="0.35">
      <c r="A190" s="1">
        <v>1189</v>
      </c>
      <c r="B190" t="s">
        <v>153</v>
      </c>
      <c r="C190" s="1" t="s">
        <v>24</v>
      </c>
      <c r="D190" s="1" t="s">
        <v>25</v>
      </c>
      <c r="E190" s="1" t="s">
        <v>14</v>
      </c>
      <c r="F190" s="11">
        <v>2200</v>
      </c>
      <c r="G190" s="1">
        <v>3</v>
      </c>
      <c r="H190" s="1">
        <v>0.1</v>
      </c>
      <c r="I190" s="7">
        <f t="shared" si="2"/>
        <v>5940</v>
      </c>
      <c r="J190" s="1" t="s">
        <v>26</v>
      </c>
      <c r="K190" s="1" t="s">
        <v>19</v>
      </c>
    </row>
    <row r="191" spans="1:11" x14ac:dyDescent="0.35">
      <c r="A191" s="1">
        <v>1190</v>
      </c>
      <c r="B191" t="s">
        <v>17</v>
      </c>
      <c r="C191" s="1" t="s">
        <v>43</v>
      </c>
      <c r="D191" s="1" t="s">
        <v>28</v>
      </c>
      <c r="E191" s="1" t="s">
        <v>29</v>
      </c>
      <c r="F191" s="11">
        <v>4500</v>
      </c>
      <c r="G191" s="1">
        <v>4</v>
      </c>
      <c r="H191" s="1">
        <v>0.05</v>
      </c>
      <c r="I191" s="7">
        <f t="shared" si="2"/>
        <v>17100</v>
      </c>
      <c r="J191" s="1" t="s">
        <v>45</v>
      </c>
      <c r="K191" s="1" t="s">
        <v>35</v>
      </c>
    </row>
    <row r="192" spans="1:11" x14ac:dyDescent="0.35">
      <c r="A192" s="1">
        <v>1191</v>
      </c>
      <c r="B192" t="s">
        <v>127</v>
      </c>
      <c r="C192" s="1" t="s">
        <v>48</v>
      </c>
      <c r="D192" s="1" t="s">
        <v>33</v>
      </c>
      <c r="E192" s="1" t="s">
        <v>14</v>
      </c>
      <c r="F192" s="11">
        <v>2800</v>
      </c>
      <c r="G192" s="1">
        <v>1</v>
      </c>
      <c r="H192" s="1">
        <v>0</v>
      </c>
      <c r="I192" s="7">
        <f t="shared" si="2"/>
        <v>2800</v>
      </c>
      <c r="J192" s="1" t="s">
        <v>30</v>
      </c>
      <c r="K192" s="1" t="s">
        <v>19</v>
      </c>
    </row>
    <row r="193" spans="1:11" x14ac:dyDescent="0.35">
      <c r="A193" s="1">
        <v>1192</v>
      </c>
      <c r="B193" t="s">
        <v>122</v>
      </c>
      <c r="C193" s="1" t="s">
        <v>24</v>
      </c>
      <c r="D193" s="1" t="s">
        <v>13</v>
      </c>
      <c r="E193" s="1" t="s">
        <v>14</v>
      </c>
      <c r="F193" s="11">
        <v>1200</v>
      </c>
      <c r="G193" s="1">
        <v>5</v>
      </c>
      <c r="H193" s="1">
        <v>0.15</v>
      </c>
      <c r="I193" s="7">
        <f t="shared" si="2"/>
        <v>5100</v>
      </c>
      <c r="J193" s="1" t="s">
        <v>18</v>
      </c>
      <c r="K193" s="1" t="s">
        <v>19</v>
      </c>
    </row>
    <row r="194" spans="1:11" x14ac:dyDescent="0.35">
      <c r="A194" s="1">
        <v>1193</v>
      </c>
      <c r="B194" t="s">
        <v>132</v>
      </c>
      <c r="C194" s="1" t="s">
        <v>32</v>
      </c>
      <c r="D194" s="1" t="s">
        <v>33</v>
      </c>
      <c r="E194" s="1" t="s">
        <v>14</v>
      </c>
      <c r="F194" s="11">
        <v>2800</v>
      </c>
      <c r="G194" s="1">
        <v>4</v>
      </c>
      <c r="H194" s="1">
        <v>0.15</v>
      </c>
      <c r="I194" s="7">
        <f t="shared" si="2"/>
        <v>9520</v>
      </c>
      <c r="J194" s="1" t="s">
        <v>15</v>
      </c>
      <c r="K194" s="1" t="s">
        <v>16</v>
      </c>
    </row>
    <row r="195" spans="1:11" x14ac:dyDescent="0.35">
      <c r="A195" s="1">
        <v>1194</v>
      </c>
      <c r="B195" t="s">
        <v>79</v>
      </c>
      <c r="C195" s="1" t="s">
        <v>43</v>
      </c>
      <c r="D195" s="1" t="s">
        <v>13</v>
      </c>
      <c r="E195" s="1" t="s">
        <v>14</v>
      </c>
      <c r="F195" s="11">
        <v>1200</v>
      </c>
      <c r="G195" s="1">
        <v>4</v>
      </c>
      <c r="H195" s="1">
        <v>0.05</v>
      </c>
      <c r="I195" s="7">
        <f t="shared" ref="I195:I258" si="3">(F195*G195)*(1-H195)</f>
        <v>4560</v>
      </c>
      <c r="J195" s="1" t="s">
        <v>18</v>
      </c>
      <c r="K195" s="1" t="s">
        <v>16</v>
      </c>
    </row>
    <row r="196" spans="1:11" x14ac:dyDescent="0.35">
      <c r="A196" s="1">
        <v>1195</v>
      </c>
      <c r="B196" t="s">
        <v>154</v>
      </c>
      <c r="C196" s="1" t="s">
        <v>43</v>
      </c>
      <c r="D196" s="1" t="s">
        <v>25</v>
      </c>
      <c r="E196" s="1" t="s">
        <v>14</v>
      </c>
      <c r="F196" s="11">
        <v>2200</v>
      </c>
      <c r="G196" s="1">
        <v>2</v>
      </c>
      <c r="H196" s="1">
        <v>0.05</v>
      </c>
      <c r="I196" s="7">
        <f t="shared" si="3"/>
        <v>4180</v>
      </c>
      <c r="J196" s="1" t="s">
        <v>30</v>
      </c>
      <c r="K196" s="1" t="s">
        <v>35</v>
      </c>
    </row>
    <row r="197" spans="1:11" x14ac:dyDescent="0.35">
      <c r="A197" s="1">
        <v>1196</v>
      </c>
      <c r="B197" t="s">
        <v>124</v>
      </c>
      <c r="C197" s="1" t="s">
        <v>48</v>
      </c>
      <c r="D197" s="1" t="s">
        <v>38</v>
      </c>
      <c r="E197" s="1" t="s">
        <v>14</v>
      </c>
      <c r="F197" s="11">
        <v>5000</v>
      </c>
      <c r="G197" s="1">
        <v>4</v>
      </c>
      <c r="H197" s="1">
        <v>0</v>
      </c>
      <c r="I197" s="7">
        <f t="shared" si="3"/>
        <v>20000</v>
      </c>
      <c r="J197" s="1" t="s">
        <v>45</v>
      </c>
      <c r="K197" s="1" t="s">
        <v>19</v>
      </c>
    </row>
    <row r="198" spans="1:11" x14ac:dyDescent="0.35">
      <c r="A198" s="1">
        <v>1197</v>
      </c>
      <c r="B198" t="s">
        <v>105</v>
      </c>
      <c r="C198" s="1" t="s">
        <v>12</v>
      </c>
      <c r="D198" s="1" t="s">
        <v>38</v>
      </c>
      <c r="E198" s="1" t="s">
        <v>14</v>
      </c>
      <c r="F198" s="11">
        <v>5000</v>
      </c>
      <c r="G198" s="1">
        <v>1</v>
      </c>
      <c r="H198" s="1">
        <v>0</v>
      </c>
      <c r="I198" s="7">
        <f t="shared" si="3"/>
        <v>5000</v>
      </c>
      <c r="J198" s="1" t="s">
        <v>18</v>
      </c>
      <c r="K198" s="1" t="s">
        <v>35</v>
      </c>
    </row>
    <row r="199" spans="1:11" x14ac:dyDescent="0.35">
      <c r="A199" s="1">
        <v>1198</v>
      </c>
      <c r="B199" t="s">
        <v>155</v>
      </c>
      <c r="C199" s="1" t="s">
        <v>24</v>
      </c>
      <c r="D199" s="1" t="s">
        <v>13</v>
      </c>
      <c r="E199" s="1" t="s">
        <v>14</v>
      </c>
      <c r="F199" s="11">
        <v>1200</v>
      </c>
      <c r="G199" s="1">
        <v>1</v>
      </c>
      <c r="H199" s="1">
        <v>0.1</v>
      </c>
      <c r="I199" s="7">
        <f t="shared" si="3"/>
        <v>1080</v>
      </c>
      <c r="J199" s="1" t="s">
        <v>45</v>
      </c>
      <c r="K199" s="1" t="s">
        <v>35</v>
      </c>
    </row>
    <row r="200" spans="1:11" x14ac:dyDescent="0.35">
      <c r="A200" s="1">
        <v>1199</v>
      </c>
      <c r="B200" t="s">
        <v>156</v>
      </c>
      <c r="C200" s="1" t="s">
        <v>55</v>
      </c>
      <c r="D200" s="1" t="s">
        <v>56</v>
      </c>
      <c r="E200" s="1" t="s">
        <v>34</v>
      </c>
      <c r="F200" s="11">
        <v>900</v>
      </c>
      <c r="G200" s="1">
        <v>5</v>
      </c>
      <c r="H200" s="1">
        <v>0</v>
      </c>
      <c r="I200" s="7">
        <f t="shared" si="3"/>
        <v>4500</v>
      </c>
      <c r="J200" s="1" t="s">
        <v>15</v>
      </c>
      <c r="K200" s="1" t="s">
        <v>19</v>
      </c>
    </row>
    <row r="201" spans="1:11" x14ac:dyDescent="0.35">
      <c r="A201" s="1">
        <v>1200</v>
      </c>
      <c r="B201" t="s">
        <v>157</v>
      </c>
      <c r="C201" s="1" t="s">
        <v>40</v>
      </c>
      <c r="D201" s="1" t="s">
        <v>21</v>
      </c>
      <c r="E201" s="1" t="s">
        <v>22</v>
      </c>
      <c r="F201" s="11">
        <v>3500</v>
      </c>
      <c r="G201" s="1">
        <v>4</v>
      </c>
      <c r="H201" s="1">
        <v>0.15</v>
      </c>
      <c r="I201" s="7">
        <f t="shared" si="3"/>
        <v>11900</v>
      </c>
      <c r="J201" s="1" t="s">
        <v>26</v>
      </c>
      <c r="K201" s="1" t="s">
        <v>35</v>
      </c>
    </row>
    <row r="202" spans="1:11" x14ac:dyDescent="0.35">
      <c r="A202" s="1">
        <v>1201</v>
      </c>
      <c r="B202" t="s">
        <v>122</v>
      </c>
      <c r="C202" s="1" t="s">
        <v>43</v>
      </c>
      <c r="D202" s="1" t="s">
        <v>25</v>
      </c>
      <c r="E202" s="1" t="s">
        <v>14</v>
      </c>
      <c r="F202" s="11">
        <v>2200</v>
      </c>
      <c r="G202" s="1">
        <v>5</v>
      </c>
      <c r="H202" s="1">
        <v>0.15</v>
      </c>
      <c r="I202" s="7">
        <f t="shared" si="3"/>
        <v>9350</v>
      </c>
      <c r="J202" s="1" t="s">
        <v>30</v>
      </c>
      <c r="K202" s="1" t="s">
        <v>19</v>
      </c>
    </row>
    <row r="203" spans="1:11" x14ac:dyDescent="0.35">
      <c r="A203" s="1">
        <v>1202</v>
      </c>
      <c r="B203" t="s">
        <v>158</v>
      </c>
      <c r="C203" s="1" t="s">
        <v>40</v>
      </c>
      <c r="D203" s="1" t="s">
        <v>21</v>
      </c>
      <c r="E203" s="1" t="s">
        <v>22</v>
      </c>
      <c r="F203" s="11">
        <v>3500</v>
      </c>
      <c r="G203" s="1">
        <v>4</v>
      </c>
      <c r="H203" s="1">
        <v>0.05</v>
      </c>
      <c r="I203" s="7">
        <f t="shared" si="3"/>
        <v>13300</v>
      </c>
      <c r="J203" s="1" t="s">
        <v>30</v>
      </c>
      <c r="K203" s="1" t="s">
        <v>19</v>
      </c>
    </row>
    <row r="204" spans="1:11" x14ac:dyDescent="0.35">
      <c r="A204" s="1">
        <v>1203</v>
      </c>
      <c r="B204" t="s">
        <v>116</v>
      </c>
      <c r="C204" s="1" t="s">
        <v>51</v>
      </c>
      <c r="D204" s="1" t="s">
        <v>56</v>
      </c>
      <c r="E204" s="1" t="s">
        <v>34</v>
      </c>
      <c r="F204" s="11">
        <v>900</v>
      </c>
      <c r="G204" s="1">
        <v>1</v>
      </c>
      <c r="H204" s="1">
        <v>0.1</v>
      </c>
      <c r="I204" s="7">
        <f t="shared" si="3"/>
        <v>810</v>
      </c>
      <c r="J204" s="1" t="s">
        <v>18</v>
      </c>
      <c r="K204" s="1" t="s">
        <v>35</v>
      </c>
    </row>
    <row r="205" spans="1:11" x14ac:dyDescent="0.35">
      <c r="A205" s="1">
        <v>1204</v>
      </c>
      <c r="B205" t="s">
        <v>159</v>
      </c>
      <c r="C205" s="1" t="s">
        <v>43</v>
      </c>
      <c r="D205" s="1" t="s">
        <v>56</v>
      </c>
      <c r="E205" s="1" t="s">
        <v>34</v>
      </c>
      <c r="F205" s="11">
        <v>900</v>
      </c>
      <c r="G205" s="1">
        <v>4</v>
      </c>
      <c r="H205" s="1">
        <v>0.15</v>
      </c>
      <c r="I205" s="7">
        <f t="shared" si="3"/>
        <v>3060</v>
      </c>
      <c r="J205" s="1" t="s">
        <v>18</v>
      </c>
      <c r="K205" s="1" t="s">
        <v>35</v>
      </c>
    </row>
    <row r="206" spans="1:11" x14ac:dyDescent="0.35">
      <c r="A206" s="1">
        <v>1205</v>
      </c>
      <c r="B206" t="s">
        <v>160</v>
      </c>
      <c r="C206" s="1" t="s">
        <v>37</v>
      </c>
      <c r="D206" s="1" t="s">
        <v>56</v>
      </c>
      <c r="E206" s="1" t="s">
        <v>34</v>
      </c>
      <c r="F206" s="11">
        <v>900</v>
      </c>
      <c r="G206" s="1">
        <v>1</v>
      </c>
      <c r="H206" s="1">
        <v>0</v>
      </c>
      <c r="I206" s="7">
        <f t="shared" si="3"/>
        <v>900</v>
      </c>
      <c r="J206" s="1" t="s">
        <v>26</v>
      </c>
      <c r="K206" s="1" t="s">
        <v>35</v>
      </c>
    </row>
    <row r="207" spans="1:11" x14ac:dyDescent="0.35">
      <c r="A207" s="1">
        <v>1206</v>
      </c>
      <c r="B207" t="s">
        <v>161</v>
      </c>
      <c r="C207" s="1" t="s">
        <v>40</v>
      </c>
      <c r="D207" s="1" t="s">
        <v>21</v>
      </c>
      <c r="E207" s="1" t="s">
        <v>22</v>
      </c>
      <c r="F207" s="11">
        <v>3500</v>
      </c>
      <c r="G207" s="1">
        <v>1</v>
      </c>
      <c r="H207" s="1">
        <v>0.15</v>
      </c>
      <c r="I207" s="7">
        <f t="shared" si="3"/>
        <v>2975</v>
      </c>
      <c r="J207" s="1" t="s">
        <v>30</v>
      </c>
      <c r="K207" s="1" t="s">
        <v>16</v>
      </c>
    </row>
    <row r="208" spans="1:11" x14ac:dyDescent="0.35">
      <c r="A208" s="1">
        <v>1207</v>
      </c>
      <c r="B208" t="s">
        <v>140</v>
      </c>
      <c r="C208" s="1" t="s">
        <v>40</v>
      </c>
      <c r="D208" s="1" t="s">
        <v>13</v>
      </c>
      <c r="E208" s="1" t="s">
        <v>14</v>
      </c>
      <c r="F208" s="11">
        <v>1200</v>
      </c>
      <c r="G208" s="1">
        <v>3</v>
      </c>
      <c r="H208" s="1">
        <v>0.1</v>
      </c>
      <c r="I208" s="7">
        <f t="shared" si="3"/>
        <v>3240</v>
      </c>
      <c r="J208" s="1" t="s">
        <v>45</v>
      </c>
      <c r="K208" s="1" t="s">
        <v>19</v>
      </c>
    </row>
    <row r="209" spans="1:11" x14ac:dyDescent="0.35">
      <c r="A209" s="1">
        <v>1208</v>
      </c>
      <c r="B209" t="s">
        <v>11</v>
      </c>
      <c r="C209" s="1" t="s">
        <v>51</v>
      </c>
      <c r="D209" s="1" t="s">
        <v>13</v>
      </c>
      <c r="E209" s="1" t="s">
        <v>14</v>
      </c>
      <c r="F209" s="11">
        <v>1200</v>
      </c>
      <c r="G209" s="1">
        <v>3</v>
      </c>
      <c r="H209" s="1">
        <v>0.1</v>
      </c>
      <c r="I209" s="7">
        <f t="shared" si="3"/>
        <v>3240</v>
      </c>
      <c r="J209" s="1" t="s">
        <v>30</v>
      </c>
      <c r="K209" s="1" t="s">
        <v>16</v>
      </c>
    </row>
    <row r="210" spans="1:11" x14ac:dyDescent="0.35">
      <c r="A210" s="1">
        <v>1209</v>
      </c>
      <c r="B210" t="s">
        <v>162</v>
      </c>
      <c r="C210" s="1" t="s">
        <v>24</v>
      </c>
      <c r="D210" s="1" t="s">
        <v>56</v>
      </c>
      <c r="E210" s="1" t="s">
        <v>34</v>
      </c>
      <c r="F210" s="11">
        <v>900</v>
      </c>
      <c r="G210" s="1">
        <v>1</v>
      </c>
      <c r="H210" s="1">
        <v>0.15</v>
      </c>
      <c r="I210" s="7">
        <f t="shared" si="3"/>
        <v>765</v>
      </c>
      <c r="J210" s="1" t="s">
        <v>45</v>
      </c>
      <c r="K210" s="1" t="s">
        <v>35</v>
      </c>
    </row>
    <row r="211" spans="1:11" x14ac:dyDescent="0.35">
      <c r="A211" s="1">
        <v>1210</v>
      </c>
      <c r="B211" t="s">
        <v>159</v>
      </c>
      <c r="C211" s="1" t="s">
        <v>67</v>
      </c>
      <c r="D211" s="1" t="s">
        <v>38</v>
      </c>
      <c r="E211" s="1" t="s">
        <v>14</v>
      </c>
      <c r="F211" s="11">
        <v>5000</v>
      </c>
      <c r="G211" s="1">
        <v>4</v>
      </c>
      <c r="H211" s="1">
        <v>0.15</v>
      </c>
      <c r="I211" s="7">
        <f t="shared" si="3"/>
        <v>17000</v>
      </c>
      <c r="J211" s="1" t="s">
        <v>15</v>
      </c>
      <c r="K211" s="1" t="s">
        <v>16</v>
      </c>
    </row>
    <row r="212" spans="1:11" x14ac:dyDescent="0.35">
      <c r="A212" s="1">
        <v>1211</v>
      </c>
      <c r="B212" t="s">
        <v>116</v>
      </c>
      <c r="C212" s="1" t="s">
        <v>40</v>
      </c>
      <c r="D212" s="1" t="s">
        <v>56</v>
      </c>
      <c r="E212" s="1" t="s">
        <v>34</v>
      </c>
      <c r="F212" s="11">
        <v>900</v>
      </c>
      <c r="G212" s="1">
        <v>5</v>
      </c>
      <c r="H212" s="1">
        <v>0</v>
      </c>
      <c r="I212" s="7">
        <f t="shared" si="3"/>
        <v>4500</v>
      </c>
      <c r="J212" s="1" t="s">
        <v>30</v>
      </c>
      <c r="K212" s="1" t="s">
        <v>19</v>
      </c>
    </row>
    <row r="213" spans="1:11" x14ac:dyDescent="0.35">
      <c r="A213" s="1">
        <v>1212</v>
      </c>
      <c r="B213" t="s">
        <v>53</v>
      </c>
      <c r="C213" s="1" t="s">
        <v>43</v>
      </c>
      <c r="D213" s="1" t="s">
        <v>28</v>
      </c>
      <c r="E213" s="1" t="s">
        <v>29</v>
      </c>
      <c r="F213" s="11">
        <v>4500</v>
      </c>
      <c r="G213" s="1">
        <v>5</v>
      </c>
      <c r="H213" s="1">
        <v>0.2</v>
      </c>
      <c r="I213" s="7">
        <f t="shared" si="3"/>
        <v>18000</v>
      </c>
      <c r="J213" s="1" t="s">
        <v>18</v>
      </c>
      <c r="K213" s="1" t="s">
        <v>16</v>
      </c>
    </row>
    <row r="214" spans="1:11" x14ac:dyDescent="0.35">
      <c r="A214" s="1">
        <v>1213</v>
      </c>
      <c r="B214" t="s">
        <v>128</v>
      </c>
      <c r="C214" s="1" t="s">
        <v>40</v>
      </c>
      <c r="D214" s="1" t="s">
        <v>33</v>
      </c>
      <c r="E214" s="1" t="s">
        <v>14</v>
      </c>
      <c r="F214" s="11">
        <v>2800</v>
      </c>
      <c r="G214" s="1">
        <v>1</v>
      </c>
      <c r="H214" s="1">
        <v>0.15</v>
      </c>
      <c r="I214" s="7">
        <f t="shared" si="3"/>
        <v>2380</v>
      </c>
      <c r="J214" s="1" t="s">
        <v>45</v>
      </c>
      <c r="K214" s="1" t="s">
        <v>16</v>
      </c>
    </row>
    <row r="215" spans="1:11" x14ac:dyDescent="0.35">
      <c r="A215" s="1">
        <v>1214</v>
      </c>
      <c r="B215" t="s">
        <v>112</v>
      </c>
      <c r="C215" s="1" t="s">
        <v>67</v>
      </c>
      <c r="D215" s="1" t="s">
        <v>28</v>
      </c>
      <c r="E215" s="1" t="s">
        <v>29</v>
      </c>
      <c r="F215" s="11">
        <v>4500</v>
      </c>
      <c r="G215" s="1">
        <v>1</v>
      </c>
      <c r="H215" s="1">
        <v>0.2</v>
      </c>
      <c r="I215" s="7">
        <f t="shared" si="3"/>
        <v>3600</v>
      </c>
      <c r="J215" s="1" t="s">
        <v>18</v>
      </c>
      <c r="K215" s="1" t="s">
        <v>19</v>
      </c>
    </row>
    <row r="216" spans="1:11" x14ac:dyDescent="0.35">
      <c r="A216" s="1">
        <v>1215</v>
      </c>
      <c r="B216" t="s">
        <v>154</v>
      </c>
      <c r="C216" s="1" t="s">
        <v>43</v>
      </c>
      <c r="D216" s="1" t="s">
        <v>21</v>
      </c>
      <c r="E216" s="1" t="s">
        <v>22</v>
      </c>
      <c r="F216" s="11">
        <v>3500</v>
      </c>
      <c r="G216" s="1">
        <v>2</v>
      </c>
      <c r="H216" s="1">
        <v>0.15</v>
      </c>
      <c r="I216" s="7">
        <f t="shared" si="3"/>
        <v>5950</v>
      </c>
      <c r="J216" s="1" t="s">
        <v>26</v>
      </c>
      <c r="K216" s="1" t="s">
        <v>35</v>
      </c>
    </row>
    <row r="217" spans="1:11" x14ac:dyDescent="0.35">
      <c r="A217" s="1">
        <v>1216</v>
      </c>
      <c r="B217" t="s">
        <v>127</v>
      </c>
      <c r="C217" s="1" t="s">
        <v>37</v>
      </c>
      <c r="D217" s="1" t="s">
        <v>28</v>
      </c>
      <c r="E217" s="1" t="s">
        <v>29</v>
      </c>
      <c r="F217" s="11">
        <v>4500</v>
      </c>
      <c r="G217" s="1">
        <v>4</v>
      </c>
      <c r="H217" s="1">
        <v>0</v>
      </c>
      <c r="I217" s="7">
        <f t="shared" si="3"/>
        <v>18000</v>
      </c>
      <c r="J217" s="1" t="s">
        <v>26</v>
      </c>
      <c r="K217" s="1" t="s">
        <v>35</v>
      </c>
    </row>
    <row r="218" spans="1:11" x14ac:dyDescent="0.35">
      <c r="A218" s="1">
        <v>1217</v>
      </c>
      <c r="B218" t="s">
        <v>150</v>
      </c>
      <c r="C218" s="1" t="s">
        <v>24</v>
      </c>
      <c r="D218" s="1" t="s">
        <v>21</v>
      </c>
      <c r="E218" s="1" t="s">
        <v>22</v>
      </c>
      <c r="F218" s="11">
        <v>3500</v>
      </c>
      <c r="G218" s="1">
        <v>3</v>
      </c>
      <c r="H218" s="1">
        <v>0</v>
      </c>
      <c r="I218" s="7">
        <f t="shared" si="3"/>
        <v>10500</v>
      </c>
      <c r="J218" s="1" t="s">
        <v>45</v>
      </c>
      <c r="K218" s="1" t="s">
        <v>35</v>
      </c>
    </row>
    <row r="219" spans="1:11" x14ac:dyDescent="0.35">
      <c r="A219" s="1">
        <v>1218</v>
      </c>
      <c r="B219" t="s">
        <v>163</v>
      </c>
      <c r="C219" s="1" t="s">
        <v>48</v>
      </c>
      <c r="D219" s="1" t="s">
        <v>21</v>
      </c>
      <c r="E219" s="1" t="s">
        <v>22</v>
      </c>
      <c r="F219" s="11">
        <v>3500</v>
      </c>
      <c r="G219" s="1">
        <v>4</v>
      </c>
      <c r="H219" s="1">
        <v>0.1</v>
      </c>
      <c r="I219" s="7">
        <f t="shared" si="3"/>
        <v>12600</v>
      </c>
      <c r="J219" s="1" t="s">
        <v>18</v>
      </c>
      <c r="K219" s="1" t="s">
        <v>35</v>
      </c>
    </row>
    <row r="220" spans="1:11" x14ac:dyDescent="0.35">
      <c r="A220" s="1">
        <v>1219</v>
      </c>
      <c r="B220" t="s">
        <v>117</v>
      </c>
      <c r="C220" s="1" t="s">
        <v>51</v>
      </c>
      <c r="D220" s="1" t="s">
        <v>56</v>
      </c>
      <c r="E220" s="1" t="s">
        <v>34</v>
      </c>
      <c r="F220" s="11">
        <v>900</v>
      </c>
      <c r="G220" s="1">
        <v>3</v>
      </c>
      <c r="H220" s="1">
        <v>0.15</v>
      </c>
      <c r="I220" s="7">
        <f t="shared" si="3"/>
        <v>2295</v>
      </c>
      <c r="J220" s="1" t="s">
        <v>30</v>
      </c>
      <c r="K220" s="1" t="s">
        <v>16</v>
      </c>
    </row>
    <row r="221" spans="1:11" x14ac:dyDescent="0.35">
      <c r="A221" s="1">
        <v>1220</v>
      </c>
      <c r="B221" t="s">
        <v>97</v>
      </c>
      <c r="C221" s="1" t="s">
        <v>40</v>
      </c>
      <c r="D221" s="1" t="s">
        <v>38</v>
      </c>
      <c r="E221" s="1" t="s">
        <v>14</v>
      </c>
      <c r="F221" s="11">
        <v>5000</v>
      </c>
      <c r="G221" s="1">
        <v>2</v>
      </c>
      <c r="H221" s="1">
        <v>0.05</v>
      </c>
      <c r="I221" s="7">
        <f t="shared" si="3"/>
        <v>9500</v>
      </c>
      <c r="J221" s="1" t="s">
        <v>45</v>
      </c>
      <c r="K221" s="1" t="s">
        <v>19</v>
      </c>
    </row>
    <row r="222" spans="1:11" x14ac:dyDescent="0.35">
      <c r="A222" s="1">
        <v>1221</v>
      </c>
      <c r="B222" t="s">
        <v>159</v>
      </c>
      <c r="C222" s="1" t="s">
        <v>37</v>
      </c>
      <c r="D222" s="1" t="s">
        <v>13</v>
      </c>
      <c r="E222" s="1" t="s">
        <v>14</v>
      </c>
      <c r="F222" s="11">
        <v>1200</v>
      </c>
      <c r="G222" s="1">
        <v>1</v>
      </c>
      <c r="H222" s="1">
        <v>0.2</v>
      </c>
      <c r="I222" s="7">
        <f t="shared" si="3"/>
        <v>960</v>
      </c>
      <c r="J222" s="1" t="s">
        <v>15</v>
      </c>
      <c r="K222" s="1" t="s">
        <v>35</v>
      </c>
    </row>
    <row r="223" spans="1:11" x14ac:dyDescent="0.35">
      <c r="A223" s="1">
        <v>1222</v>
      </c>
      <c r="B223" t="s">
        <v>96</v>
      </c>
      <c r="C223" s="1" t="s">
        <v>12</v>
      </c>
      <c r="D223" s="1" t="s">
        <v>38</v>
      </c>
      <c r="E223" s="1" t="s">
        <v>14</v>
      </c>
      <c r="F223" s="11">
        <v>5000</v>
      </c>
      <c r="G223" s="1">
        <v>3</v>
      </c>
      <c r="H223" s="1">
        <v>0.1</v>
      </c>
      <c r="I223" s="7">
        <f t="shared" si="3"/>
        <v>13500</v>
      </c>
      <c r="J223" s="1" t="s">
        <v>45</v>
      </c>
      <c r="K223" s="1" t="s">
        <v>35</v>
      </c>
    </row>
    <row r="224" spans="1:11" x14ac:dyDescent="0.35">
      <c r="A224" s="1">
        <v>1223</v>
      </c>
      <c r="B224" t="s">
        <v>82</v>
      </c>
      <c r="C224" s="1" t="s">
        <v>67</v>
      </c>
      <c r="D224" s="1" t="s">
        <v>25</v>
      </c>
      <c r="E224" s="1" t="s">
        <v>14</v>
      </c>
      <c r="F224" s="11">
        <v>2200</v>
      </c>
      <c r="G224" s="1">
        <v>1</v>
      </c>
      <c r="H224" s="1">
        <v>0.05</v>
      </c>
      <c r="I224" s="7">
        <f t="shared" si="3"/>
        <v>2090</v>
      </c>
      <c r="J224" s="1" t="s">
        <v>26</v>
      </c>
      <c r="K224" s="1" t="s">
        <v>19</v>
      </c>
    </row>
    <row r="225" spans="1:11" x14ac:dyDescent="0.35">
      <c r="A225" s="1">
        <v>1224</v>
      </c>
      <c r="B225" t="s">
        <v>164</v>
      </c>
      <c r="C225" s="1" t="s">
        <v>55</v>
      </c>
      <c r="D225" s="1" t="s">
        <v>28</v>
      </c>
      <c r="E225" s="1" t="s">
        <v>29</v>
      </c>
      <c r="F225" s="11">
        <v>4500</v>
      </c>
      <c r="G225" s="1">
        <v>5</v>
      </c>
      <c r="H225" s="1">
        <v>0.05</v>
      </c>
      <c r="I225" s="7">
        <f t="shared" si="3"/>
        <v>21375</v>
      </c>
      <c r="J225" s="1" t="s">
        <v>26</v>
      </c>
      <c r="K225" s="1" t="s">
        <v>35</v>
      </c>
    </row>
    <row r="226" spans="1:11" x14ac:dyDescent="0.35">
      <c r="A226" s="1">
        <v>1225</v>
      </c>
      <c r="B226" t="s">
        <v>165</v>
      </c>
      <c r="C226" s="1" t="s">
        <v>48</v>
      </c>
      <c r="D226" s="1" t="s">
        <v>25</v>
      </c>
      <c r="E226" s="1" t="s">
        <v>14</v>
      </c>
      <c r="F226" s="11">
        <v>2200</v>
      </c>
      <c r="G226" s="1">
        <v>2</v>
      </c>
      <c r="H226" s="1">
        <v>0.2</v>
      </c>
      <c r="I226" s="7">
        <f t="shared" si="3"/>
        <v>3520</v>
      </c>
      <c r="J226" s="1" t="s">
        <v>30</v>
      </c>
      <c r="K226" s="1" t="s">
        <v>16</v>
      </c>
    </row>
    <row r="227" spans="1:11" x14ac:dyDescent="0.35">
      <c r="A227" s="1">
        <v>1226</v>
      </c>
      <c r="B227" t="s">
        <v>107</v>
      </c>
      <c r="C227" s="1" t="s">
        <v>37</v>
      </c>
      <c r="D227" s="1" t="s">
        <v>56</v>
      </c>
      <c r="E227" s="1" t="s">
        <v>34</v>
      </c>
      <c r="F227" s="11">
        <v>900</v>
      </c>
      <c r="G227" s="1">
        <v>5</v>
      </c>
      <c r="H227" s="1">
        <v>0.2</v>
      </c>
      <c r="I227" s="7">
        <f t="shared" si="3"/>
        <v>3600</v>
      </c>
      <c r="J227" s="1" t="s">
        <v>15</v>
      </c>
      <c r="K227" s="1" t="s">
        <v>19</v>
      </c>
    </row>
    <row r="228" spans="1:11" x14ac:dyDescent="0.35">
      <c r="A228" s="1">
        <v>1227</v>
      </c>
      <c r="B228" t="s">
        <v>157</v>
      </c>
      <c r="C228" s="1" t="s">
        <v>43</v>
      </c>
      <c r="D228" s="1" t="s">
        <v>56</v>
      </c>
      <c r="E228" s="1" t="s">
        <v>34</v>
      </c>
      <c r="F228" s="11">
        <v>900</v>
      </c>
      <c r="G228" s="1">
        <v>1</v>
      </c>
      <c r="H228" s="1">
        <v>0</v>
      </c>
      <c r="I228" s="7">
        <f t="shared" si="3"/>
        <v>900</v>
      </c>
      <c r="J228" s="1" t="s">
        <v>30</v>
      </c>
      <c r="K228" s="1" t="s">
        <v>19</v>
      </c>
    </row>
    <row r="229" spans="1:11" x14ac:dyDescent="0.35">
      <c r="A229" s="1">
        <v>1228</v>
      </c>
      <c r="B229" t="s">
        <v>82</v>
      </c>
      <c r="C229" s="1" t="s">
        <v>32</v>
      </c>
      <c r="D229" s="1" t="s">
        <v>13</v>
      </c>
      <c r="E229" s="1" t="s">
        <v>14</v>
      </c>
      <c r="F229" s="11">
        <v>1200</v>
      </c>
      <c r="G229" s="1">
        <v>4</v>
      </c>
      <c r="H229" s="1">
        <v>0.2</v>
      </c>
      <c r="I229" s="7">
        <f t="shared" si="3"/>
        <v>3840</v>
      </c>
      <c r="J229" s="1" t="s">
        <v>26</v>
      </c>
      <c r="K229" s="1" t="s">
        <v>19</v>
      </c>
    </row>
    <row r="230" spans="1:11" x14ac:dyDescent="0.35">
      <c r="A230" s="1">
        <v>1229</v>
      </c>
      <c r="B230" t="s">
        <v>166</v>
      </c>
      <c r="C230" s="1" t="s">
        <v>67</v>
      </c>
      <c r="D230" s="1" t="s">
        <v>56</v>
      </c>
      <c r="E230" s="1" t="s">
        <v>34</v>
      </c>
      <c r="F230" s="11">
        <v>900</v>
      </c>
      <c r="G230" s="1">
        <v>2</v>
      </c>
      <c r="H230" s="1">
        <v>0.1</v>
      </c>
      <c r="I230" s="7">
        <f t="shared" si="3"/>
        <v>1620</v>
      </c>
      <c r="J230" s="1" t="s">
        <v>26</v>
      </c>
      <c r="K230" s="1" t="s">
        <v>16</v>
      </c>
    </row>
    <row r="231" spans="1:11" x14ac:dyDescent="0.35">
      <c r="A231" s="1">
        <v>1230</v>
      </c>
      <c r="B231" t="s">
        <v>167</v>
      </c>
      <c r="C231" s="1" t="s">
        <v>40</v>
      </c>
      <c r="D231" s="1" t="s">
        <v>38</v>
      </c>
      <c r="E231" s="1" t="s">
        <v>14</v>
      </c>
      <c r="F231" s="11">
        <v>5000</v>
      </c>
      <c r="G231" s="1">
        <v>5</v>
      </c>
      <c r="H231" s="1">
        <v>0</v>
      </c>
      <c r="I231" s="7">
        <f t="shared" si="3"/>
        <v>25000</v>
      </c>
      <c r="J231" s="1" t="s">
        <v>30</v>
      </c>
      <c r="K231" s="1" t="s">
        <v>19</v>
      </c>
    </row>
    <row r="232" spans="1:11" x14ac:dyDescent="0.35">
      <c r="A232" s="1">
        <v>1231</v>
      </c>
      <c r="B232" t="s">
        <v>168</v>
      </c>
      <c r="C232" s="1" t="s">
        <v>32</v>
      </c>
      <c r="D232" s="1" t="s">
        <v>33</v>
      </c>
      <c r="E232" s="1" t="s">
        <v>14</v>
      </c>
      <c r="F232" s="11">
        <v>2800</v>
      </c>
      <c r="G232" s="1">
        <v>1</v>
      </c>
      <c r="H232" s="1">
        <v>0.1</v>
      </c>
      <c r="I232" s="7">
        <f t="shared" si="3"/>
        <v>2520</v>
      </c>
      <c r="J232" s="1" t="s">
        <v>15</v>
      </c>
      <c r="K232" s="1" t="s">
        <v>35</v>
      </c>
    </row>
    <row r="233" spans="1:11" x14ac:dyDescent="0.35">
      <c r="A233" s="1">
        <v>1232</v>
      </c>
      <c r="B233" t="s">
        <v>126</v>
      </c>
      <c r="C233" s="1" t="s">
        <v>37</v>
      </c>
      <c r="D233" s="1" t="s">
        <v>56</v>
      </c>
      <c r="E233" s="1" t="s">
        <v>34</v>
      </c>
      <c r="F233" s="11">
        <v>900</v>
      </c>
      <c r="G233" s="1">
        <v>2</v>
      </c>
      <c r="H233" s="1">
        <v>0.05</v>
      </c>
      <c r="I233" s="7">
        <f t="shared" si="3"/>
        <v>1710</v>
      </c>
      <c r="J233" s="1" t="s">
        <v>18</v>
      </c>
      <c r="K233" s="1" t="s">
        <v>19</v>
      </c>
    </row>
    <row r="234" spans="1:11" x14ac:dyDescent="0.35">
      <c r="A234" s="1">
        <v>1233</v>
      </c>
      <c r="B234" t="s">
        <v>60</v>
      </c>
      <c r="C234" s="1" t="s">
        <v>48</v>
      </c>
      <c r="D234" s="1" t="s">
        <v>21</v>
      </c>
      <c r="E234" s="1" t="s">
        <v>22</v>
      </c>
      <c r="F234" s="11">
        <v>3500</v>
      </c>
      <c r="G234" s="1">
        <v>1</v>
      </c>
      <c r="H234" s="1">
        <v>0.05</v>
      </c>
      <c r="I234" s="7">
        <f t="shared" si="3"/>
        <v>3325</v>
      </c>
      <c r="J234" s="1" t="s">
        <v>30</v>
      </c>
      <c r="K234" s="1" t="s">
        <v>35</v>
      </c>
    </row>
    <row r="235" spans="1:11" x14ac:dyDescent="0.35">
      <c r="A235" s="1">
        <v>1234</v>
      </c>
      <c r="B235" t="s">
        <v>169</v>
      </c>
      <c r="C235" s="1" t="s">
        <v>51</v>
      </c>
      <c r="D235" s="1" t="s">
        <v>25</v>
      </c>
      <c r="E235" s="1" t="s">
        <v>14</v>
      </c>
      <c r="F235" s="11">
        <v>2200</v>
      </c>
      <c r="G235" s="1">
        <v>4</v>
      </c>
      <c r="H235" s="1">
        <v>0</v>
      </c>
      <c r="I235" s="7">
        <f t="shared" si="3"/>
        <v>8800</v>
      </c>
      <c r="J235" s="1" t="s">
        <v>18</v>
      </c>
      <c r="K235" s="1" t="s">
        <v>19</v>
      </c>
    </row>
    <row r="236" spans="1:11" x14ac:dyDescent="0.35">
      <c r="A236" s="1">
        <v>1235</v>
      </c>
      <c r="B236" t="s">
        <v>144</v>
      </c>
      <c r="C236" s="1" t="s">
        <v>40</v>
      </c>
      <c r="D236" s="1" t="s">
        <v>33</v>
      </c>
      <c r="E236" s="1" t="s">
        <v>14</v>
      </c>
      <c r="F236" s="11">
        <v>2800</v>
      </c>
      <c r="G236" s="1">
        <v>4</v>
      </c>
      <c r="H236" s="1">
        <v>0.05</v>
      </c>
      <c r="I236" s="7">
        <f t="shared" si="3"/>
        <v>10640</v>
      </c>
      <c r="J236" s="1" t="s">
        <v>15</v>
      </c>
      <c r="K236" s="1" t="s">
        <v>35</v>
      </c>
    </row>
    <row r="237" spans="1:11" x14ac:dyDescent="0.35">
      <c r="A237" s="1">
        <v>1236</v>
      </c>
      <c r="B237" t="s">
        <v>11</v>
      </c>
      <c r="C237" s="1" t="s">
        <v>37</v>
      </c>
      <c r="D237" s="1" t="s">
        <v>38</v>
      </c>
      <c r="E237" s="1" t="s">
        <v>14</v>
      </c>
      <c r="F237" s="11">
        <v>5000</v>
      </c>
      <c r="G237" s="1">
        <v>5</v>
      </c>
      <c r="H237" s="1">
        <v>0.1</v>
      </c>
      <c r="I237" s="7">
        <f t="shared" si="3"/>
        <v>22500</v>
      </c>
      <c r="J237" s="1" t="s">
        <v>26</v>
      </c>
      <c r="K237" s="1" t="s">
        <v>19</v>
      </c>
    </row>
    <row r="238" spans="1:11" x14ac:dyDescent="0.35">
      <c r="A238" s="1">
        <v>1237</v>
      </c>
      <c r="B238" t="s">
        <v>53</v>
      </c>
      <c r="C238" s="1" t="s">
        <v>37</v>
      </c>
      <c r="D238" s="1" t="s">
        <v>56</v>
      </c>
      <c r="E238" s="1" t="s">
        <v>34</v>
      </c>
      <c r="F238" s="11">
        <v>900</v>
      </c>
      <c r="G238" s="1">
        <v>5</v>
      </c>
      <c r="H238" s="1">
        <v>0.1</v>
      </c>
      <c r="I238" s="7">
        <f t="shared" si="3"/>
        <v>4050</v>
      </c>
      <c r="J238" s="1" t="s">
        <v>30</v>
      </c>
      <c r="K238" s="1" t="s">
        <v>19</v>
      </c>
    </row>
    <row r="239" spans="1:11" x14ac:dyDescent="0.35">
      <c r="A239" s="1">
        <v>1238</v>
      </c>
      <c r="B239" t="s">
        <v>58</v>
      </c>
      <c r="C239" s="1" t="s">
        <v>37</v>
      </c>
      <c r="D239" s="1" t="s">
        <v>21</v>
      </c>
      <c r="E239" s="1" t="s">
        <v>22</v>
      </c>
      <c r="F239" s="11">
        <v>3500</v>
      </c>
      <c r="G239" s="1">
        <v>5</v>
      </c>
      <c r="H239" s="1">
        <v>0.15</v>
      </c>
      <c r="I239" s="7">
        <f t="shared" si="3"/>
        <v>14875</v>
      </c>
      <c r="J239" s="1" t="s">
        <v>15</v>
      </c>
      <c r="K239" s="1" t="s">
        <v>35</v>
      </c>
    </row>
    <row r="240" spans="1:11" x14ac:dyDescent="0.35">
      <c r="A240" s="1">
        <v>1239</v>
      </c>
      <c r="B240" t="s">
        <v>170</v>
      </c>
      <c r="C240" s="1" t="s">
        <v>40</v>
      </c>
      <c r="D240" s="1" t="s">
        <v>21</v>
      </c>
      <c r="E240" s="1" t="s">
        <v>22</v>
      </c>
      <c r="F240" s="11">
        <v>3500</v>
      </c>
      <c r="G240" s="1">
        <v>4</v>
      </c>
      <c r="H240" s="1">
        <v>0.05</v>
      </c>
      <c r="I240" s="7">
        <f t="shared" si="3"/>
        <v>13300</v>
      </c>
      <c r="J240" s="1" t="s">
        <v>26</v>
      </c>
      <c r="K240" s="1" t="s">
        <v>19</v>
      </c>
    </row>
    <row r="241" spans="1:11" x14ac:dyDescent="0.35">
      <c r="A241" s="1">
        <v>1240</v>
      </c>
      <c r="B241" t="s">
        <v>132</v>
      </c>
      <c r="C241" s="1" t="s">
        <v>37</v>
      </c>
      <c r="D241" s="1" t="s">
        <v>38</v>
      </c>
      <c r="E241" s="1" t="s">
        <v>14</v>
      </c>
      <c r="F241" s="11">
        <v>5000</v>
      </c>
      <c r="G241" s="1">
        <v>2</v>
      </c>
      <c r="H241" s="1">
        <v>0.2</v>
      </c>
      <c r="I241" s="7">
        <f t="shared" si="3"/>
        <v>8000</v>
      </c>
      <c r="J241" s="1" t="s">
        <v>18</v>
      </c>
      <c r="K241" s="1" t="s">
        <v>35</v>
      </c>
    </row>
    <row r="242" spans="1:11" x14ac:dyDescent="0.35">
      <c r="A242" s="1">
        <v>1241</v>
      </c>
      <c r="B242" t="s">
        <v>171</v>
      </c>
      <c r="C242" s="1" t="s">
        <v>40</v>
      </c>
      <c r="D242" s="1" t="s">
        <v>56</v>
      </c>
      <c r="E242" s="1" t="s">
        <v>34</v>
      </c>
      <c r="F242" s="11">
        <v>900</v>
      </c>
      <c r="G242" s="1">
        <v>3</v>
      </c>
      <c r="H242" s="1">
        <v>0.05</v>
      </c>
      <c r="I242" s="7">
        <f t="shared" si="3"/>
        <v>2565</v>
      </c>
      <c r="J242" s="1" t="s">
        <v>15</v>
      </c>
      <c r="K242" s="1" t="s">
        <v>16</v>
      </c>
    </row>
    <row r="243" spans="1:11" x14ac:dyDescent="0.35">
      <c r="A243" s="1">
        <v>1242</v>
      </c>
      <c r="B243" t="s">
        <v>158</v>
      </c>
      <c r="C243" s="1" t="s">
        <v>37</v>
      </c>
      <c r="D243" s="1" t="s">
        <v>56</v>
      </c>
      <c r="E243" s="1" t="s">
        <v>34</v>
      </c>
      <c r="F243" s="11">
        <v>900</v>
      </c>
      <c r="G243" s="1">
        <v>5</v>
      </c>
      <c r="H243" s="1">
        <v>0.05</v>
      </c>
      <c r="I243" s="7">
        <f t="shared" si="3"/>
        <v>4275</v>
      </c>
      <c r="J243" s="1" t="s">
        <v>15</v>
      </c>
      <c r="K243" s="1" t="s">
        <v>35</v>
      </c>
    </row>
    <row r="244" spans="1:11" x14ac:dyDescent="0.35">
      <c r="A244" s="1">
        <v>1243</v>
      </c>
      <c r="B244" t="s">
        <v>147</v>
      </c>
      <c r="C244" s="1" t="s">
        <v>55</v>
      </c>
      <c r="D244" s="1" t="s">
        <v>33</v>
      </c>
      <c r="E244" s="1" t="s">
        <v>14</v>
      </c>
      <c r="F244" s="11">
        <v>2800</v>
      </c>
      <c r="G244" s="1">
        <v>1</v>
      </c>
      <c r="H244" s="1">
        <v>0.15</v>
      </c>
      <c r="I244" s="7">
        <f t="shared" si="3"/>
        <v>2380</v>
      </c>
      <c r="J244" s="1" t="s">
        <v>45</v>
      </c>
      <c r="K244" s="1" t="s">
        <v>35</v>
      </c>
    </row>
    <row r="245" spans="1:11" x14ac:dyDescent="0.35">
      <c r="A245" s="1">
        <v>1244</v>
      </c>
      <c r="B245" t="s">
        <v>172</v>
      </c>
      <c r="C245" s="1" t="s">
        <v>48</v>
      </c>
      <c r="D245" s="1" t="s">
        <v>33</v>
      </c>
      <c r="E245" s="1" t="s">
        <v>14</v>
      </c>
      <c r="F245" s="11">
        <v>2800</v>
      </c>
      <c r="G245" s="1">
        <v>3</v>
      </c>
      <c r="H245" s="1">
        <v>0.05</v>
      </c>
      <c r="I245" s="7">
        <f t="shared" si="3"/>
        <v>7980</v>
      </c>
      <c r="J245" s="1" t="s">
        <v>18</v>
      </c>
      <c r="K245" s="1" t="s">
        <v>19</v>
      </c>
    </row>
    <row r="246" spans="1:11" x14ac:dyDescent="0.35">
      <c r="A246" s="1">
        <v>1245</v>
      </c>
      <c r="B246" t="s">
        <v>146</v>
      </c>
      <c r="C246" s="1" t="s">
        <v>12</v>
      </c>
      <c r="D246" s="1" t="s">
        <v>25</v>
      </c>
      <c r="E246" s="1" t="s">
        <v>14</v>
      </c>
      <c r="F246" s="11">
        <v>2200</v>
      </c>
      <c r="G246" s="1">
        <v>4</v>
      </c>
      <c r="H246" s="1">
        <v>0.1</v>
      </c>
      <c r="I246" s="7">
        <f t="shared" si="3"/>
        <v>7920</v>
      </c>
      <c r="J246" s="1" t="s">
        <v>18</v>
      </c>
      <c r="K246" s="1" t="s">
        <v>35</v>
      </c>
    </row>
    <row r="247" spans="1:11" x14ac:dyDescent="0.35">
      <c r="A247" s="1">
        <v>1246</v>
      </c>
      <c r="B247" t="s">
        <v>70</v>
      </c>
      <c r="C247" s="1" t="s">
        <v>32</v>
      </c>
      <c r="D247" s="1" t="s">
        <v>21</v>
      </c>
      <c r="E247" s="1" t="s">
        <v>22</v>
      </c>
      <c r="F247" s="11">
        <v>3500</v>
      </c>
      <c r="G247" s="1">
        <v>5</v>
      </c>
      <c r="H247" s="1">
        <v>0.1</v>
      </c>
      <c r="I247" s="7">
        <f t="shared" si="3"/>
        <v>15750</v>
      </c>
      <c r="J247" s="1" t="s">
        <v>26</v>
      </c>
      <c r="K247" s="1" t="s">
        <v>35</v>
      </c>
    </row>
    <row r="248" spans="1:11" x14ac:dyDescent="0.35">
      <c r="A248" s="1">
        <v>1247</v>
      </c>
      <c r="B248" t="s">
        <v>89</v>
      </c>
      <c r="C248" s="1" t="s">
        <v>37</v>
      </c>
      <c r="D248" s="1" t="s">
        <v>28</v>
      </c>
      <c r="E248" s="1" t="s">
        <v>29</v>
      </c>
      <c r="F248" s="11">
        <v>4500</v>
      </c>
      <c r="G248" s="1">
        <v>3</v>
      </c>
      <c r="H248" s="1">
        <v>0.1</v>
      </c>
      <c r="I248" s="7">
        <f t="shared" si="3"/>
        <v>12150</v>
      </c>
      <c r="J248" s="1" t="s">
        <v>18</v>
      </c>
      <c r="K248" s="1" t="s">
        <v>35</v>
      </c>
    </row>
    <row r="249" spans="1:11" x14ac:dyDescent="0.35">
      <c r="A249" s="1">
        <v>1248</v>
      </c>
      <c r="B249" t="s">
        <v>152</v>
      </c>
      <c r="C249" s="1" t="s">
        <v>51</v>
      </c>
      <c r="D249" s="1" t="s">
        <v>21</v>
      </c>
      <c r="E249" s="1" t="s">
        <v>22</v>
      </c>
      <c r="F249" s="11">
        <v>3500</v>
      </c>
      <c r="G249" s="1">
        <v>2</v>
      </c>
      <c r="H249" s="1">
        <v>0</v>
      </c>
      <c r="I249" s="7">
        <f t="shared" si="3"/>
        <v>7000</v>
      </c>
      <c r="J249" s="1" t="s">
        <v>30</v>
      </c>
      <c r="K249" s="1" t="s">
        <v>19</v>
      </c>
    </row>
    <row r="250" spans="1:11" x14ac:dyDescent="0.35">
      <c r="A250" s="1">
        <v>1249</v>
      </c>
      <c r="B250" t="s">
        <v>173</v>
      </c>
      <c r="C250" s="1" t="s">
        <v>40</v>
      </c>
      <c r="D250" s="1" t="s">
        <v>56</v>
      </c>
      <c r="E250" s="1" t="s">
        <v>34</v>
      </c>
      <c r="F250" s="11">
        <v>900</v>
      </c>
      <c r="G250" s="1">
        <v>2</v>
      </c>
      <c r="H250" s="1">
        <v>0</v>
      </c>
      <c r="I250" s="7">
        <f t="shared" si="3"/>
        <v>1800</v>
      </c>
      <c r="J250" s="1" t="s">
        <v>45</v>
      </c>
      <c r="K250" s="1" t="s">
        <v>16</v>
      </c>
    </row>
    <row r="251" spans="1:11" x14ac:dyDescent="0.35">
      <c r="A251" s="1">
        <v>1250</v>
      </c>
      <c r="B251" t="s">
        <v>134</v>
      </c>
      <c r="C251" s="1" t="s">
        <v>43</v>
      </c>
      <c r="D251" s="1" t="s">
        <v>13</v>
      </c>
      <c r="E251" s="1" t="s">
        <v>14</v>
      </c>
      <c r="F251" s="11">
        <v>1200</v>
      </c>
      <c r="G251" s="1">
        <v>4</v>
      </c>
      <c r="H251" s="1">
        <v>0.2</v>
      </c>
      <c r="I251" s="7">
        <f t="shared" si="3"/>
        <v>3840</v>
      </c>
      <c r="J251" s="1" t="s">
        <v>30</v>
      </c>
      <c r="K251" s="1" t="s">
        <v>19</v>
      </c>
    </row>
    <row r="252" spans="1:11" x14ac:dyDescent="0.35">
      <c r="A252" s="1">
        <v>1251</v>
      </c>
      <c r="B252" t="s">
        <v>161</v>
      </c>
      <c r="C252" s="1" t="s">
        <v>55</v>
      </c>
      <c r="D252" s="1" t="s">
        <v>25</v>
      </c>
      <c r="E252" s="1" t="s">
        <v>14</v>
      </c>
      <c r="F252" s="11">
        <v>2200</v>
      </c>
      <c r="G252" s="1">
        <v>1</v>
      </c>
      <c r="H252" s="1">
        <v>0.1</v>
      </c>
      <c r="I252" s="7">
        <f t="shared" si="3"/>
        <v>1980</v>
      </c>
      <c r="J252" s="1" t="s">
        <v>45</v>
      </c>
      <c r="K252" s="1" t="s">
        <v>35</v>
      </c>
    </row>
    <row r="253" spans="1:11" x14ac:dyDescent="0.35">
      <c r="A253" s="1">
        <v>1252</v>
      </c>
      <c r="B253" t="s">
        <v>36</v>
      </c>
      <c r="C253" s="1" t="s">
        <v>51</v>
      </c>
      <c r="D253" s="1" t="s">
        <v>21</v>
      </c>
      <c r="E253" s="1" t="s">
        <v>22</v>
      </c>
      <c r="F253" s="11">
        <v>3500</v>
      </c>
      <c r="G253" s="1">
        <v>1</v>
      </c>
      <c r="H253" s="1">
        <v>0.15</v>
      </c>
      <c r="I253" s="7">
        <f t="shared" si="3"/>
        <v>2975</v>
      </c>
      <c r="J253" s="1" t="s">
        <v>30</v>
      </c>
      <c r="K253" s="1" t="s">
        <v>35</v>
      </c>
    </row>
    <row r="254" spans="1:11" x14ac:dyDescent="0.35">
      <c r="A254" s="1">
        <v>1253</v>
      </c>
      <c r="B254" t="s">
        <v>119</v>
      </c>
      <c r="C254" s="1" t="s">
        <v>51</v>
      </c>
      <c r="D254" s="1" t="s">
        <v>38</v>
      </c>
      <c r="E254" s="1" t="s">
        <v>14</v>
      </c>
      <c r="F254" s="11">
        <v>5000</v>
      </c>
      <c r="G254" s="1">
        <v>4</v>
      </c>
      <c r="H254" s="1">
        <v>0.1</v>
      </c>
      <c r="I254" s="7">
        <f t="shared" si="3"/>
        <v>18000</v>
      </c>
      <c r="J254" s="1" t="s">
        <v>26</v>
      </c>
      <c r="K254" s="1" t="s">
        <v>19</v>
      </c>
    </row>
    <row r="255" spans="1:11" x14ac:dyDescent="0.35">
      <c r="A255" s="1">
        <v>1254</v>
      </c>
      <c r="B255" t="s">
        <v>130</v>
      </c>
      <c r="C255" s="1" t="s">
        <v>12</v>
      </c>
      <c r="D255" s="1" t="s">
        <v>56</v>
      </c>
      <c r="E255" s="1" t="s">
        <v>34</v>
      </c>
      <c r="F255" s="11">
        <v>900</v>
      </c>
      <c r="G255" s="1">
        <v>4</v>
      </c>
      <c r="H255" s="1">
        <v>0.2</v>
      </c>
      <c r="I255" s="7">
        <f t="shared" si="3"/>
        <v>2880</v>
      </c>
      <c r="J255" s="1" t="s">
        <v>15</v>
      </c>
      <c r="K255" s="1" t="s">
        <v>19</v>
      </c>
    </row>
    <row r="256" spans="1:11" x14ac:dyDescent="0.35">
      <c r="A256" s="1">
        <v>1255</v>
      </c>
      <c r="B256" t="s">
        <v>58</v>
      </c>
      <c r="C256" s="1" t="s">
        <v>37</v>
      </c>
      <c r="D256" s="1" t="s">
        <v>33</v>
      </c>
      <c r="E256" s="1" t="s">
        <v>14</v>
      </c>
      <c r="F256" s="11">
        <v>2800</v>
      </c>
      <c r="G256" s="1">
        <v>5</v>
      </c>
      <c r="H256" s="1">
        <v>0</v>
      </c>
      <c r="I256" s="7">
        <f t="shared" si="3"/>
        <v>14000</v>
      </c>
      <c r="J256" s="1" t="s">
        <v>15</v>
      </c>
      <c r="K256" s="1" t="s">
        <v>16</v>
      </c>
    </row>
    <row r="257" spans="1:11" x14ac:dyDescent="0.35">
      <c r="A257" s="1">
        <v>1256</v>
      </c>
      <c r="B257" t="s">
        <v>158</v>
      </c>
      <c r="C257" s="1" t="s">
        <v>40</v>
      </c>
      <c r="D257" s="1" t="s">
        <v>13</v>
      </c>
      <c r="E257" s="1" t="s">
        <v>14</v>
      </c>
      <c r="F257" s="11">
        <v>1200</v>
      </c>
      <c r="G257" s="1">
        <v>1</v>
      </c>
      <c r="H257" s="1">
        <v>0.05</v>
      </c>
      <c r="I257" s="7">
        <f t="shared" si="3"/>
        <v>1140</v>
      </c>
      <c r="J257" s="1" t="s">
        <v>45</v>
      </c>
      <c r="K257" s="1" t="s">
        <v>16</v>
      </c>
    </row>
    <row r="258" spans="1:11" x14ac:dyDescent="0.35">
      <c r="A258" s="1">
        <v>1257</v>
      </c>
      <c r="B258" t="s">
        <v>78</v>
      </c>
      <c r="C258" s="1" t="s">
        <v>43</v>
      </c>
      <c r="D258" s="1" t="s">
        <v>28</v>
      </c>
      <c r="E258" s="1" t="s">
        <v>29</v>
      </c>
      <c r="F258" s="11">
        <v>4500</v>
      </c>
      <c r="G258" s="1">
        <v>4</v>
      </c>
      <c r="H258" s="1">
        <v>0</v>
      </c>
      <c r="I258" s="7">
        <f t="shared" si="3"/>
        <v>18000</v>
      </c>
      <c r="J258" s="1" t="s">
        <v>45</v>
      </c>
      <c r="K258" s="1" t="s">
        <v>16</v>
      </c>
    </row>
    <row r="259" spans="1:11" x14ac:dyDescent="0.35">
      <c r="A259" s="1">
        <v>1258</v>
      </c>
      <c r="B259" t="s">
        <v>169</v>
      </c>
      <c r="C259" s="1" t="s">
        <v>48</v>
      </c>
      <c r="D259" s="1" t="s">
        <v>25</v>
      </c>
      <c r="E259" s="1" t="s">
        <v>14</v>
      </c>
      <c r="F259" s="11">
        <v>2200</v>
      </c>
      <c r="G259" s="1">
        <v>3</v>
      </c>
      <c r="H259" s="1">
        <v>0.2</v>
      </c>
      <c r="I259" s="7">
        <f t="shared" ref="I259:I301" si="4">(F259*G259)*(1-H259)</f>
        <v>5280</v>
      </c>
      <c r="J259" s="1" t="s">
        <v>30</v>
      </c>
      <c r="K259" s="1" t="s">
        <v>19</v>
      </c>
    </row>
    <row r="260" spans="1:11" x14ac:dyDescent="0.35">
      <c r="A260" s="1">
        <v>1259</v>
      </c>
      <c r="B260" t="s">
        <v>47</v>
      </c>
      <c r="C260" s="1" t="s">
        <v>67</v>
      </c>
      <c r="D260" s="1" t="s">
        <v>13</v>
      </c>
      <c r="E260" s="1" t="s">
        <v>14</v>
      </c>
      <c r="F260" s="11">
        <v>1200</v>
      </c>
      <c r="G260" s="1">
        <v>1</v>
      </c>
      <c r="H260" s="1">
        <v>0.1</v>
      </c>
      <c r="I260" s="7">
        <f t="shared" si="4"/>
        <v>1080</v>
      </c>
      <c r="J260" s="1" t="s">
        <v>45</v>
      </c>
      <c r="K260" s="1" t="s">
        <v>16</v>
      </c>
    </row>
    <row r="261" spans="1:11" x14ac:dyDescent="0.35">
      <c r="A261" s="1">
        <v>1260</v>
      </c>
      <c r="B261" t="s">
        <v>31</v>
      </c>
      <c r="C261" s="1" t="s">
        <v>12</v>
      </c>
      <c r="D261" s="1" t="s">
        <v>56</v>
      </c>
      <c r="E261" s="1" t="s">
        <v>34</v>
      </c>
      <c r="F261" s="11">
        <v>900</v>
      </c>
      <c r="G261" s="1">
        <v>1</v>
      </c>
      <c r="H261" s="1">
        <v>0.2</v>
      </c>
      <c r="I261" s="7">
        <f t="shared" si="4"/>
        <v>720</v>
      </c>
      <c r="J261" s="1" t="s">
        <v>18</v>
      </c>
      <c r="K261" s="1" t="s">
        <v>35</v>
      </c>
    </row>
    <row r="262" spans="1:11" x14ac:dyDescent="0.35">
      <c r="A262" s="1">
        <v>1261</v>
      </c>
      <c r="B262" t="s">
        <v>138</v>
      </c>
      <c r="C262" s="1" t="s">
        <v>48</v>
      </c>
      <c r="D262" s="1" t="s">
        <v>33</v>
      </c>
      <c r="E262" s="1" t="s">
        <v>14</v>
      </c>
      <c r="F262" s="11">
        <v>2800</v>
      </c>
      <c r="G262" s="1">
        <v>2</v>
      </c>
      <c r="H262" s="1">
        <v>0.2</v>
      </c>
      <c r="I262" s="7">
        <f t="shared" si="4"/>
        <v>4480</v>
      </c>
      <c r="J262" s="1" t="s">
        <v>45</v>
      </c>
      <c r="K262" s="1" t="s">
        <v>16</v>
      </c>
    </row>
    <row r="263" spans="1:11" x14ac:dyDescent="0.35">
      <c r="A263" s="1">
        <v>1262</v>
      </c>
      <c r="B263" t="s">
        <v>75</v>
      </c>
      <c r="C263" s="1" t="s">
        <v>48</v>
      </c>
      <c r="D263" s="1" t="s">
        <v>28</v>
      </c>
      <c r="E263" s="1" t="s">
        <v>29</v>
      </c>
      <c r="F263" s="11">
        <v>4500</v>
      </c>
      <c r="G263" s="1">
        <v>3</v>
      </c>
      <c r="H263" s="1">
        <v>0.15</v>
      </c>
      <c r="I263" s="7">
        <f t="shared" si="4"/>
        <v>11475</v>
      </c>
      <c r="J263" s="1" t="s">
        <v>15</v>
      </c>
      <c r="K263" s="1" t="s">
        <v>35</v>
      </c>
    </row>
    <row r="264" spans="1:11" x14ac:dyDescent="0.35">
      <c r="A264" s="1">
        <v>1263</v>
      </c>
      <c r="B264" t="s">
        <v>174</v>
      </c>
      <c r="C264" s="1" t="s">
        <v>51</v>
      </c>
      <c r="D264" s="1" t="s">
        <v>25</v>
      </c>
      <c r="E264" s="1" t="s">
        <v>14</v>
      </c>
      <c r="F264" s="11">
        <v>2200</v>
      </c>
      <c r="G264" s="1">
        <v>4</v>
      </c>
      <c r="H264" s="1">
        <v>0.05</v>
      </c>
      <c r="I264" s="7">
        <f t="shared" si="4"/>
        <v>8360</v>
      </c>
      <c r="J264" s="1" t="s">
        <v>26</v>
      </c>
      <c r="K264" s="1" t="s">
        <v>19</v>
      </c>
    </row>
    <row r="265" spans="1:11" x14ac:dyDescent="0.35">
      <c r="A265" s="1">
        <v>1264</v>
      </c>
      <c r="B265" t="s">
        <v>77</v>
      </c>
      <c r="C265" s="1" t="s">
        <v>43</v>
      </c>
      <c r="D265" s="1" t="s">
        <v>28</v>
      </c>
      <c r="E265" s="1" t="s">
        <v>29</v>
      </c>
      <c r="F265" s="11">
        <v>4500</v>
      </c>
      <c r="G265" s="1">
        <v>4</v>
      </c>
      <c r="H265" s="1">
        <v>0.15</v>
      </c>
      <c r="I265" s="7">
        <f t="shared" si="4"/>
        <v>15300</v>
      </c>
      <c r="J265" s="1" t="s">
        <v>18</v>
      </c>
      <c r="K265" s="1" t="s">
        <v>35</v>
      </c>
    </row>
    <row r="266" spans="1:11" x14ac:dyDescent="0.35">
      <c r="A266" s="1">
        <v>1265</v>
      </c>
      <c r="B266" t="s">
        <v>160</v>
      </c>
      <c r="C266" s="1" t="s">
        <v>55</v>
      </c>
      <c r="D266" s="1" t="s">
        <v>25</v>
      </c>
      <c r="E266" s="1" t="s">
        <v>14</v>
      </c>
      <c r="F266" s="11">
        <v>2200</v>
      </c>
      <c r="G266" s="1">
        <v>2</v>
      </c>
      <c r="H266" s="1">
        <v>0.15</v>
      </c>
      <c r="I266" s="7">
        <f t="shared" si="4"/>
        <v>3740</v>
      </c>
      <c r="J266" s="1" t="s">
        <v>45</v>
      </c>
      <c r="K266" s="1" t="s">
        <v>35</v>
      </c>
    </row>
    <row r="267" spans="1:11" x14ac:dyDescent="0.35">
      <c r="A267" s="1">
        <v>1266</v>
      </c>
      <c r="B267" t="s">
        <v>117</v>
      </c>
      <c r="C267" s="1" t="s">
        <v>43</v>
      </c>
      <c r="D267" s="1" t="s">
        <v>38</v>
      </c>
      <c r="E267" s="1" t="s">
        <v>14</v>
      </c>
      <c r="F267" s="11">
        <v>5000</v>
      </c>
      <c r="G267" s="1">
        <v>3</v>
      </c>
      <c r="H267" s="1">
        <v>0.2</v>
      </c>
      <c r="I267" s="7">
        <f t="shared" si="4"/>
        <v>12000</v>
      </c>
      <c r="J267" s="1" t="s">
        <v>45</v>
      </c>
      <c r="K267" s="1" t="s">
        <v>19</v>
      </c>
    </row>
    <row r="268" spans="1:11" x14ac:dyDescent="0.35">
      <c r="A268" s="1">
        <v>1267</v>
      </c>
      <c r="B268" t="s">
        <v>80</v>
      </c>
      <c r="C268" s="1" t="s">
        <v>48</v>
      </c>
      <c r="D268" s="1" t="s">
        <v>28</v>
      </c>
      <c r="E268" s="1" t="s">
        <v>29</v>
      </c>
      <c r="F268" s="11">
        <v>4500</v>
      </c>
      <c r="G268" s="1">
        <v>4</v>
      </c>
      <c r="H268" s="1">
        <v>0.1</v>
      </c>
      <c r="I268" s="7">
        <f t="shared" si="4"/>
        <v>16200</v>
      </c>
      <c r="J268" s="1" t="s">
        <v>15</v>
      </c>
      <c r="K268" s="1" t="s">
        <v>19</v>
      </c>
    </row>
    <row r="269" spans="1:11" x14ac:dyDescent="0.35">
      <c r="A269" s="1">
        <v>1268</v>
      </c>
      <c r="B269" t="s">
        <v>130</v>
      </c>
      <c r="C269" s="1" t="s">
        <v>40</v>
      </c>
      <c r="D269" s="1" t="s">
        <v>25</v>
      </c>
      <c r="E269" s="1" t="s">
        <v>14</v>
      </c>
      <c r="F269" s="11">
        <v>2200</v>
      </c>
      <c r="G269" s="1">
        <v>5</v>
      </c>
      <c r="H269" s="1">
        <v>0</v>
      </c>
      <c r="I269" s="7">
        <f t="shared" si="4"/>
        <v>11000</v>
      </c>
      <c r="J269" s="1" t="s">
        <v>45</v>
      </c>
      <c r="K269" s="1" t="s">
        <v>19</v>
      </c>
    </row>
    <row r="270" spans="1:11" x14ac:dyDescent="0.35">
      <c r="A270" s="1">
        <v>1269</v>
      </c>
      <c r="B270" t="s">
        <v>130</v>
      </c>
      <c r="C270" s="1" t="s">
        <v>40</v>
      </c>
      <c r="D270" s="1" t="s">
        <v>21</v>
      </c>
      <c r="E270" s="1" t="s">
        <v>22</v>
      </c>
      <c r="F270" s="11">
        <v>3500</v>
      </c>
      <c r="G270" s="1">
        <v>4</v>
      </c>
      <c r="H270" s="1">
        <v>0.1</v>
      </c>
      <c r="I270" s="7">
        <f t="shared" si="4"/>
        <v>12600</v>
      </c>
      <c r="J270" s="1" t="s">
        <v>15</v>
      </c>
      <c r="K270" s="1" t="s">
        <v>16</v>
      </c>
    </row>
    <row r="271" spans="1:11" x14ac:dyDescent="0.35">
      <c r="A271" s="1">
        <v>1270</v>
      </c>
      <c r="B271" t="s">
        <v>146</v>
      </c>
      <c r="C271" s="1" t="s">
        <v>32</v>
      </c>
      <c r="D271" s="1" t="s">
        <v>28</v>
      </c>
      <c r="E271" s="1" t="s">
        <v>29</v>
      </c>
      <c r="F271" s="11">
        <v>4500</v>
      </c>
      <c r="G271" s="1">
        <v>4</v>
      </c>
      <c r="H271" s="1">
        <v>0.05</v>
      </c>
      <c r="I271" s="7">
        <f t="shared" si="4"/>
        <v>17100</v>
      </c>
      <c r="J271" s="1" t="s">
        <v>18</v>
      </c>
      <c r="K271" s="1" t="s">
        <v>19</v>
      </c>
    </row>
    <row r="272" spans="1:11" x14ac:dyDescent="0.35">
      <c r="A272" s="1">
        <v>1271</v>
      </c>
      <c r="B272" t="s">
        <v>36</v>
      </c>
      <c r="C272" s="1" t="s">
        <v>24</v>
      </c>
      <c r="D272" s="1" t="s">
        <v>56</v>
      </c>
      <c r="E272" s="1" t="s">
        <v>34</v>
      </c>
      <c r="F272" s="11">
        <v>900</v>
      </c>
      <c r="G272" s="1">
        <v>3</v>
      </c>
      <c r="H272" s="1">
        <v>0.15</v>
      </c>
      <c r="I272" s="7">
        <f t="shared" si="4"/>
        <v>2295</v>
      </c>
      <c r="J272" s="1" t="s">
        <v>18</v>
      </c>
      <c r="K272" s="1" t="s">
        <v>19</v>
      </c>
    </row>
    <row r="273" spans="1:11" x14ac:dyDescent="0.35">
      <c r="A273" s="1">
        <v>1272</v>
      </c>
      <c r="B273" t="s">
        <v>23</v>
      </c>
      <c r="C273" s="1" t="s">
        <v>67</v>
      </c>
      <c r="D273" s="1" t="s">
        <v>33</v>
      </c>
      <c r="E273" s="1" t="s">
        <v>14</v>
      </c>
      <c r="F273" s="11">
        <v>2800</v>
      </c>
      <c r="G273" s="1">
        <v>5</v>
      </c>
      <c r="H273" s="1">
        <v>0.05</v>
      </c>
      <c r="I273" s="7">
        <f t="shared" si="4"/>
        <v>13300</v>
      </c>
      <c r="J273" s="1" t="s">
        <v>26</v>
      </c>
      <c r="K273" s="1" t="s">
        <v>19</v>
      </c>
    </row>
    <row r="274" spans="1:11" x14ac:dyDescent="0.35">
      <c r="A274" s="1">
        <v>1273</v>
      </c>
      <c r="B274" t="s">
        <v>175</v>
      </c>
      <c r="C274" s="1" t="s">
        <v>32</v>
      </c>
      <c r="D274" s="1" t="s">
        <v>38</v>
      </c>
      <c r="E274" s="1" t="s">
        <v>14</v>
      </c>
      <c r="F274" s="11">
        <v>5000</v>
      </c>
      <c r="G274" s="1">
        <v>5</v>
      </c>
      <c r="H274" s="1">
        <v>0.2</v>
      </c>
      <c r="I274" s="7">
        <f t="shared" si="4"/>
        <v>20000</v>
      </c>
      <c r="J274" s="1" t="s">
        <v>15</v>
      </c>
      <c r="K274" s="1" t="s">
        <v>35</v>
      </c>
    </row>
    <row r="275" spans="1:11" x14ac:dyDescent="0.35">
      <c r="A275" s="1">
        <v>1274</v>
      </c>
      <c r="B275" t="s">
        <v>66</v>
      </c>
      <c r="C275" s="1" t="s">
        <v>48</v>
      </c>
      <c r="D275" s="1" t="s">
        <v>28</v>
      </c>
      <c r="E275" s="1" t="s">
        <v>29</v>
      </c>
      <c r="F275" s="11">
        <v>4500</v>
      </c>
      <c r="G275" s="1">
        <v>5</v>
      </c>
      <c r="H275" s="1">
        <v>0.05</v>
      </c>
      <c r="I275" s="7">
        <f t="shared" si="4"/>
        <v>21375</v>
      </c>
      <c r="J275" s="1" t="s">
        <v>26</v>
      </c>
      <c r="K275" s="1" t="s">
        <v>16</v>
      </c>
    </row>
    <row r="276" spans="1:11" x14ac:dyDescent="0.35">
      <c r="A276" s="1">
        <v>1275</v>
      </c>
      <c r="B276" t="s">
        <v>137</v>
      </c>
      <c r="C276" s="1" t="s">
        <v>55</v>
      </c>
      <c r="D276" s="1" t="s">
        <v>28</v>
      </c>
      <c r="E276" s="1" t="s">
        <v>29</v>
      </c>
      <c r="F276" s="11">
        <v>4500</v>
      </c>
      <c r="G276" s="1">
        <v>5</v>
      </c>
      <c r="H276" s="1">
        <v>0.15</v>
      </c>
      <c r="I276" s="7">
        <f t="shared" si="4"/>
        <v>19125</v>
      </c>
      <c r="J276" s="1" t="s">
        <v>18</v>
      </c>
      <c r="K276" s="1" t="s">
        <v>35</v>
      </c>
    </row>
    <row r="277" spans="1:11" x14ac:dyDescent="0.35">
      <c r="A277" s="1">
        <v>1276</v>
      </c>
      <c r="B277" t="s">
        <v>117</v>
      </c>
      <c r="C277" s="1" t="s">
        <v>51</v>
      </c>
      <c r="D277" s="1" t="s">
        <v>38</v>
      </c>
      <c r="E277" s="1" t="s">
        <v>14</v>
      </c>
      <c r="F277" s="11">
        <v>5000</v>
      </c>
      <c r="G277" s="1">
        <v>1</v>
      </c>
      <c r="H277" s="1">
        <v>0</v>
      </c>
      <c r="I277" s="7">
        <f t="shared" si="4"/>
        <v>5000</v>
      </c>
      <c r="J277" s="1" t="s">
        <v>15</v>
      </c>
      <c r="K277" s="1" t="s">
        <v>35</v>
      </c>
    </row>
    <row r="278" spans="1:11" x14ac:dyDescent="0.35">
      <c r="A278" s="1">
        <v>1277</v>
      </c>
      <c r="B278" t="s">
        <v>176</v>
      </c>
      <c r="C278" s="1" t="s">
        <v>55</v>
      </c>
      <c r="D278" s="1" t="s">
        <v>25</v>
      </c>
      <c r="E278" s="1" t="s">
        <v>14</v>
      </c>
      <c r="F278" s="11">
        <v>2200</v>
      </c>
      <c r="G278" s="1">
        <v>3</v>
      </c>
      <c r="H278" s="1">
        <v>0.1</v>
      </c>
      <c r="I278" s="7">
        <f t="shared" si="4"/>
        <v>5940</v>
      </c>
      <c r="J278" s="1" t="s">
        <v>45</v>
      </c>
      <c r="K278" s="1" t="s">
        <v>19</v>
      </c>
    </row>
    <row r="279" spans="1:11" x14ac:dyDescent="0.35">
      <c r="A279" s="1">
        <v>1278</v>
      </c>
      <c r="B279" t="s">
        <v>53</v>
      </c>
      <c r="C279" s="1" t="s">
        <v>48</v>
      </c>
      <c r="D279" s="1" t="s">
        <v>21</v>
      </c>
      <c r="E279" s="1" t="s">
        <v>22</v>
      </c>
      <c r="F279" s="11">
        <v>3500</v>
      </c>
      <c r="G279" s="1">
        <v>5</v>
      </c>
      <c r="H279" s="1">
        <v>0.1</v>
      </c>
      <c r="I279" s="7">
        <f t="shared" si="4"/>
        <v>15750</v>
      </c>
      <c r="J279" s="1" t="s">
        <v>18</v>
      </c>
      <c r="K279" s="1" t="s">
        <v>16</v>
      </c>
    </row>
    <row r="280" spans="1:11" x14ac:dyDescent="0.35">
      <c r="A280" s="1">
        <v>1279</v>
      </c>
      <c r="B280" t="s">
        <v>177</v>
      </c>
      <c r="C280" s="1" t="s">
        <v>32</v>
      </c>
      <c r="D280" s="1" t="s">
        <v>38</v>
      </c>
      <c r="E280" s="1" t="s">
        <v>14</v>
      </c>
      <c r="F280" s="11">
        <v>5000</v>
      </c>
      <c r="G280" s="1">
        <v>5</v>
      </c>
      <c r="H280" s="1">
        <v>0</v>
      </c>
      <c r="I280" s="7">
        <f t="shared" si="4"/>
        <v>25000</v>
      </c>
      <c r="J280" s="1" t="s">
        <v>18</v>
      </c>
      <c r="K280" s="1" t="s">
        <v>16</v>
      </c>
    </row>
    <row r="281" spans="1:11" x14ac:dyDescent="0.35">
      <c r="A281" s="1">
        <v>1280</v>
      </c>
      <c r="B281" t="s">
        <v>81</v>
      </c>
      <c r="C281" s="1" t="s">
        <v>51</v>
      </c>
      <c r="D281" s="1" t="s">
        <v>33</v>
      </c>
      <c r="E281" s="1" t="s">
        <v>14</v>
      </c>
      <c r="F281" s="11">
        <v>2800</v>
      </c>
      <c r="G281" s="1">
        <v>5</v>
      </c>
      <c r="H281" s="1">
        <v>0.15</v>
      </c>
      <c r="I281" s="7">
        <f t="shared" si="4"/>
        <v>11900</v>
      </c>
      <c r="J281" s="1" t="s">
        <v>18</v>
      </c>
      <c r="K281" s="1" t="s">
        <v>19</v>
      </c>
    </row>
    <row r="282" spans="1:11" x14ac:dyDescent="0.35">
      <c r="A282" s="1">
        <v>1281</v>
      </c>
      <c r="B282" t="s">
        <v>178</v>
      </c>
      <c r="C282" s="1" t="s">
        <v>67</v>
      </c>
      <c r="D282" s="1" t="s">
        <v>38</v>
      </c>
      <c r="E282" s="1" t="s">
        <v>14</v>
      </c>
      <c r="F282" s="11">
        <v>5000</v>
      </c>
      <c r="G282" s="1">
        <v>1</v>
      </c>
      <c r="H282" s="1">
        <v>0.1</v>
      </c>
      <c r="I282" s="7">
        <f t="shared" si="4"/>
        <v>4500</v>
      </c>
      <c r="J282" s="1" t="s">
        <v>15</v>
      </c>
      <c r="K282" s="1" t="s">
        <v>16</v>
      </c>
    </row>
    <row r="283" spans="1:11" x14ac:dyDescent="0.35">
      <c r="A283" s="1">
        <v>1282</v>
      </c>
      <c r="B283" t="s">
        <v>86</v>
      </c>
      <c r="C283" s="1" t="s">
        <v>12</v>
      </c>
      <c r="D283" s="1" t="s">
        <v>13</v>
      </c>
      <c r="E283" s="1" t="s">
        <v>14</v>
      </c>
      <c r="F283" s="11">
        <v>1200</v>
      </c>
      <c r="G283" s="1">
        <v>3</v>
      </c>
      <c r="H283" s="1">
        <v>0.1</v>
      </c>
      <c r="I283" s="7">
        <f t="shared" si="4"/>
        <v>3240</v>
      </c>
      <c r="J283" s="1" t="s">
        <v>18</v>
      </c>
      <c r="K283" s="1" t="s">
        <v>35</v>
      </c>
    </row>
    <row r="284" spans="1:11" x14ac:dyDescent="0.35">
      <c r="A284" s="1">
        <v>1283</v>
      </c>
      <c r="B284" t="s">
        <v>132</v>
      </c>
      <c r="C284" s="1" t="s">
        <v>32</v>
      </c>
      <c r="D284" s="1" t="s">
        <v>28</v>
      </c>
      <c r="E284" s="1" t="s">
        <v>29</v>
      </c>
      <c r="F284" s="11">
        <v>4500</v>
      </c>
      <c r="G284" s="1">
        <v>4</v>
      </c>
      <c r="H284" s="1">
        <v>0.05</v>
      </c>
      <c r="I284" s="7">
        <f t="shared" si="4"/>
        <v>17100</v>
      </c>
      <c r="J284" s="1" t="s">
        <v>26</v>
      </c>
      <c r="K284" s="1" t="s">
        <v>16</v>
      </c>
    </row>
    <row r="285" spans="1:11" x14ac:dyDescent="0.35">
      <c r="A285" s="1">
        <v>1284</v>
      </c>
      <c r="B285" t="s">
        <v>173</v>
      </c>
      <c r="C285" s="1" t="s">
        <v>67</v>
      </c>
      <c r="D285" s="1" t="s">
        <v>33</v>
      </c>
      <c r="E285" s="1" t="s">
        <v>14</v>
      </c>
      <c r="F285" s="11">
        <v>2800</v>
      </c>
      <c r="G285" s="1">
        <v>3</v>
      </c>
      <c r="H285" s="1">
        <v>0</v>
      </c>
      <c r="I285" s="7">
        <f t="shared" si="4"/>
        <v>8400</v>
      </c>
      <c r="J285" s="1" t="s">
        <v>15</v>
      </c>
      <c r="K285" s="1" t="s">
        <v>16</v>
      </c>
    </row>
    <row r="286" spans="1:11" x14ac:dyDescent="0.35">
      <c r="A286" s="1">
        <v>1285</v>
      </c>
      <c r="B286" t="s">
        <v>160</v>
      </c>
      <c r="C286" s="1" t="s">
        <v>48</v>
      </c>
      <c r="D286" s="1" t="s">
        <v>33</v>
      </c>
      <c r="E286" s="1" t="s">
        <v>14</v>
      </c>
      <c r="F286" s="11">
        <v>2800</v>
      </c>
      <c r="G286" s="1">
        <v>2</v>
      </c>
      <c r="H286" s="1">
        <v>0.2</v>
      </c>
      <c r="I286" s="7">
        <f t="shared" si="4"/>
        <v>4480</v>
      </c>
      <c r="J286" s="1" t="s">
        <v>26</v>
      </c>
      <c r="K286" s="1" t="s">
        <v>35</v>
      </c>
    </row>
    <row r="287" spans="1:11" x14ac:dyDescent="0.35">
      <c r="A287" s="1">
        <v>1286</v>
      </c>
      <c r="B287" t="s">
        <v>139</v>
      </c>
      <c r="C287" s="1" t="s">
        <v>12</v>
      </c>
      <c r="D287" s="1" t="s">
        <v>21</v>
      </c>
      <c r="E287" s="1" t="s">
        <v>22</v>
      </c>
      <c r="F287" s="11">
        <v>3500</v>
      </c>
      <c r="G287" s="1">
        <v>4</v>
      </c>
      <c r="H287" s="1">
        <v>0</v>
      </c>
      <c r="I287" s="7">
        <f t="shared" si="4"/>
        <v>14000</v>
      </c>
      <c r="J287" s="1" t="s">
        <v>18</v>
      </c>
      <c r="K287" s="1" t="s">
        <v>16</v>
      </c>
    </row>
    <row r="288" spans="1:11" x14ac:dyDescent="0.35">
      <c r="A288" s="1">
        <v>1287</v>
      </c>
      <c r="B288" t="s">
        <v>17</v>
      </c>
      <c r="C288" s="1" t="s">
        <v>32</v>
      </c>
      <c r="D288" s="1" t="s">
        <v>56</v>
      </c>
      <c r="E288" s="1" t="s">
        <v>34</v>
      </c>
      <c r="F288" s="11">
        <v>900</v>
      </c>
      <c r="G288" s="1">
        <v>4</v>
      </c>
      <c r="H288" s="1">
        <v>0.1</v>
      </c>
      <c r="I288" s="7">
        <f t="shared" si="4"/>
        <v>3240</v>
      </c>
      <c r="J288" s="1" t="s">
        <v>18</v>
      </c>
      <c r="K288" s="1" t="s">
        <v>19</v>
      </c>
    </row>
    <row r="289" spans="1:11" x14ac:dyDescent="0.35">
      <c r="A289" s="1">
        <v>1288</v>
      </c>
      <c r="B289" t="s">
        <v>100</v>
      </c>
      <c r="C289" s="1" t="s">
        <v>12</v>
      </c>
      <c r="D289" s="1" t="s">
        <v>38</v>
      </c>
      <c r="E289" s="1" t="s">
        <v>14</v>
      </c>
      <c r="F289" s="11">
        <v>5000</v>
      </c>
      <c r="G289" s="1">
        <v>5</v>
      </c>
      <c r="H289" s="1">
        <v>0.1</v>
      </c>
      <c r="I289" s="7">
        <f t="shared" si="4"/>
        <v>22500</v>
      </c>
      <c r="J289" s="1" t="s">
        <v>18</v>
      </c>
      <c r="K289" s="1" t="s">
        <v>16</v>
      </c>
    </row>
    <row r="290" spans="1:11" x14ac:dyDescent="0.35">
      <c r="A290" s="1">
        <v>1289</v>
      </c>
      <c r="B290" t="s">
        <v>64</v>
      </c>
      <c r="C290" s="1" t="s">
        <v>43</v>
      </c>
      <c r="D290" s="1" t="s">
        <v>21</v>
      </c>
      <c r="E290" s="1" t="s">
        <v>22</v>
      </c>
      <c r="F290" s="11">
        <v>3500</v>
      </c>
      <c r="G290" s="1">
        <v>3</v>
      </c>
      <c r="H290" s="1">
        <v>0.2</v>
      </c>
      <c r="I290" s="7">
        <f t="shared" si="4"/>
        <v>8400</v>
      </c>
      <c r="J290" s="1" t="s">
        <v>26</v>
      </c>
      <c r="K290" s="1" t="s">
        <v>35</v>
      </c>
    </row>
    <row r="291" spans="1:11" x14ac:dyDescent="0.35">
      <c r="A291" s="1">
        <v>1290</v>
      </c>
      <c r="B291" t="s">
        <v>117</v>
      </c>
      <c r="C291" s="1" t="s">
        <v>55</v>
      </c>
      <c r="D291" s="1" t="s">
        <v>21</v>
      </c>
      <c r="E291" s="1" t="s">
        <v>22</v>
      </c>
      <c r="F291" s="11">
        <v>3500</v>
      </c>
      <c r="G291" s="1">
        <v>4</v>
      </c>
      <c r="H291" s="1">
        <v>0.15</v>
      </c>
      <c r="I291" s="7">
        <f t="shared" si="4"/>
        <v>11900</v>
      </c>
      <c r="J291" s="1" t="s">
        <v>18</v>
      </c>
      <c r="K291" s="1" t="s">
        <v>35</v>
      </c>
    </row>
    <row r="292" spans="1:11" x14ac:dyDescent="0.35">
      <c r="A292" s="1">
        <v>1291</v>
      </c>
      <c r="B292" t="s">
        <v>154</v>
      </c>
      <c r="C292" s="1" t="s">
        <v>51</v>
      </c>
      <c r="D292" s="1" t="s">
        <v>28</v>
      </c>
      <c r="E292" s="1" t="s">
        <v>29</v>
      </c>
      <c r="F292" s="11">
        <v>4500</v>
      </c>
      <c r="G292" s="1">
        <v>5</v>
      </c>
      <c r="H292" s="1">
        <v>0.05</v>
      </c>
      <c r="I292" s="7">
        <f t="shared" si="4"/>
        <v>21375</v>
      </c>
      <c r="J292" s="1" t="s">
        <v>18</v>
      </c>
      <c r="K292" s="1" t="s">
        <v>35</v>
      </c>
    </row>
    <row r="293" spans="1:11" x14ac:dyDescent="0.35">
      <c r="A293" s="1">
        <v>1292</v>
      </c>
      <c r="B293" t="s">
        <v>166</v>
      </c>
      <c r="C293" s="1" t="s">
        <v>43</v>
      </c>
      <c r="D293" s="1" t="s">
        <v>28</v>
      </c>
      <c r="E293" s="1" t="s">
        <v>29</v>
      </c>
      <c r="F293" s="11">
        <v>4500</v>
      </c>
      <c r="G293" s="1">
        <v>2</v>
      </c>
      <c r="H293" s="1">
        <v>0.2</v>
      </c>
      <c r="I293" s="7">
        <f t="shared" si="4"/>
        <v>7200</v>
      </c>
      <c r="J293" s="1" t="s">
        <v>26</v>
      </c>
      <c r="K293" s="1" t="s">
        <v>35</v>
      </c>
    </row>
    <row r="294" spans="1:11" x14ac:dyDescent="0.35">
      <c r="A294" s="1">
        <v>1293</v>
      </c>
      <c r="B294" t="s">
        <v>153</v>
      </c>
      <c r="C294" s="1" t="s">
        <v>48</v>
      </c>
      <c r="D294" s="1" t="s">
        <v>13</v>
      </c>
      <c r="E294" s="1" t="s">
        <v>14</v>
      </c>
      <c r="F294" s="11">
        <v>1200</v>
      </c>
      <c r="G294" s="1">
        <v>2</v>
      </c>
      <c r="H294" s="1">
        <v>0</v>
      </c>
      <c r="I294" s="7">
        <f t="shared" si="4"/>
        <v>2400</v>
      </c>
      <c r="J294" s="1" t="s">
        <v>26</v>
      </c>
      <c r="K294" s="1" t="s">
        <v>16</v>
      </c>
    </row>
    <row r="295" spans="1:11" x14ac:dyDescent="0.35">
      <c r="A295" s="1">
        <v>1294</v>
      </c>
      <c r="B295" t="s">
        <v>146</v>
      </c>
      <c r="C295" s="1" t="s">
        <v>67</v>
      </c>
      <c r="D295" s="1" t="s">
        <v>13</v>
      </c>
      <c r="E295" s="1" t="s">
        <v>14</v>
      </c>
      <c r="F295" s="11">
        <v>1200</v>
      </c>
      <c r="G295" s="1">
        <v>3</v>
      </c>
      <c r="H295" s="1">
        <v>0.2</v>
      </c>
      <c r="I295" s="7">
        <f t="shared" si="4"/>
        <v>2880</v>
      </c>
      <c r="J295" s="1" t="s">
        <v>15</v>
      </c>
      <c r="K295" s="1" t="s">
        <v>19</v>
      </c>
    </row>
    <row r="296" spans="1:11" x14ac:dyDescent="0.35">
      <c r="A296" s="1">
        <v>1295</v>
      </c>
      <c r="B296" t="s">
        <v>179</v>
      </c>
      <c r="C296" s="1" t="s">
        <v>24</v>
      </c>
      <c r="D296" s="1" t="s">
        <v>25</v>
      </c>
      <c r="E296" s="1" t="s">
        <v>14</v>
      </c>
      <c r="F296" s="11">
        <v>2200</v>
      </c>
      <c r="G296" s="1">
        <v>2</v>
      </c>
      <c r="H296" s="1">
        <v>0.1</v>
      </c>
      <c r="I296" s="7">
        <f t="shared" si="4"/>
        <v>3960</v>
      </c>
      <c r="J296" s="1" t="s">
        <v>45</v>
      </c>
      <c r="K296" s="1" t="s">
        <v>19</v>
      </c>
    </row>
    <row r="297" spans="1:11" x14ac:dyDescent="0.35">
      <c r="A297" s="1">
        <v>1296</v>
      </c>
      <c r="B297" t="s">
        <v>169</v>
      </c>
      <c r="C297" s="1" t="s">
        <v>48</v>
      </c>
      <c r="D297" s="1" t="s">
        <v>28</v>
      </c>
      <c r="E297" s="1" t="s">
        <v>29</v>
      </c>
      <c r="F297" s="11">
        <v>4500</v>
      </c>
      <c r="G297" s="1">
        <v>5</v>
      </c>
      <c r="H297" s="1">
        <v>0.15</v>
      </c>
      <c r="I297" s="7">
        <f t="shared" si="4"/>
        <v>19125</v>
      </c>
      <c r="J297" s="1" t="s">
        <v>26</v>
      </c>
      <c r="K297" s="1" t="s">
        <v>35</v>
      </c>
    </row>
    <row r="298" spans="1:11" x14ac:dyDescent="0.35">
      <c r="A298" s="1">
        <v>1297</v>
      </c>
      <c r="B298" t="s">
        <v>180</v>
      </c>
      <c r="C298" s="1" t="s">
        <v>12</v>
      </c>
      <c r="D298" s="1" t="s">
        <v>28</v>
      </c>
      <c r="E298" s="1" t="s">
        <v>29</v>
      </c>
      <c r="F298" s="11">
        <v>4500</v>
      </c>
      <c r="G298" s="1">
        <v>2</v>
      </c>
      <c r="H298" s="1">
        <v>0</v>
      </c>
      <c r="I298" s="7">
        <f t="shared" si="4"/>
        <v>9000</v>
      </c>
      <c r="J298" s="1" t="s">
        <v>26</v>
      </c>
      <c r="K298" s="1" t="s">
        <v>16</v>
      </c>
    </row>
    <row r="299" spans="1:11" x14ac:dyDescent="0.35">
      <c r="A299" s="1">
        <v>1298</v>
      </c>
      <c r="B299" t="s">
        <v>162</v>
      </c>
      <c r="C299" s="1" t="s">
        <v>48</v>
      </c>
      <c r="D299" s="1" t="s">
        <v>56</v>
      </c>
      <c r="E299" s="1" t="s">
        <v>34</v>
      </c>
      <c r="F299" s="11">
        <v>900</v>
      </c>
      <c r="G299" s="1">
        <v>5</v>
      </c>
      <c r="H299" s="1">
        <v>0.15</v>
      </c>
      <c r="I299" s="7">
        <f t="shared" si="4"/>
        <v>3825</v>
      </c>
      <c r="J299" s="1" t="s">
        <v>45</v>
      </c>
      <c r="K299" s="1" t="s">
        <v>35</v>
      </c>
    </row>
    <row r="300" spans="1:11" x14ac:dyDescent="0.35">
      <c r="A300" s="1">
        <v>1299</v>
      </c>
      <c r="B300" t="s">
        <v>111</v>
      </c>
      <c r="C300" s="1" t="s">
        <v>48</v>
      </c>
      <c r="D300" s="1" t="s">
        <v>56</v>
      </c>
      <c r="E300" s="1" t="s">
        <v>34</v>
      </c>
      <c r="F300" s="11">
        <v>900</v>
      </c>
      <c r="G300" s="1">
        <v>1</v>
      </c>
      <c r="H300" s="1">
        <v>0.05</v>
      </c>
      <c r="I300" s="7">
        <f t="shared" si="4"/>
        <v>855</v>
      </c>
      <c r="J300" s="1" t="s">
        <v>18</v>
      </c>
      <c r="K300" s="1" t="s">
        <v>35</v>
      </c>
    </row>
    <row r="301" spans="1:11" x14ac:dyDescent="0.35">
      <c r="A301" s="1">
        <v>1300</v>
      </c>
      <c r="B301" t="s">
        <v>90</v>
      </c>
      <c r="C301" s="1" t="s">
        <v>67</v>
      </c>
      <c r="D301" s="1" t="s">
        <v>28</v>
      </c>
      <c r="E301" s="1" t="s">
        <v>29</v>
      </c>
      <c r="F301" s="11">
        <v>4500</v>
      </c>
      <c r="G301" s="1">
        <v>5</v>
      </c>
      <c r="H301" s="1">
        <v>0</v>
      </c>
      <c r="I301" s="7">
        <f t="shared" si="4"/>
        <v>22500</v>
      </c>
      <c r="J301" s="1" t="s">
        <v>30</v>
      </c>
      <c r="K301" s="1" t="s">
        <v>19</v>
      </c>
    </row>
  </sheetData>
  <conditionalFormatting sqref="I1:I1048576">
    <cfRule type="colorScale" priority="1">
      <colorScale>
        <cfvo type="min"/>
        <cfvo type="max"/>
        <color rgb="FFFCFCFF"/>
        <color rgb="FFF8696B"/>
      </colorScale>
    </cfRule>
  </conditionalFormatting>
  <dataValidations count="1">
    <dataValidation type="list" allowBlank="1" showInputMessage="1" showErrorMessage="1" sqref="E2:E301" xr:uid="{90619582-9C27-4F72-9AE4-FE07064A3565}">
      <formula1>"Accessories,Clothing,Women,Footware"</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FE645-1E79-439F-8638-3242C7A931B1}">
  <dimension ref="B1:L10"/>
  <sheetViews>
    <sheetView showGridLines="0" zoomScaleNormal="100" workbookViewId="0">
      <selection activeCell="O8" sqref="O8"/>
    </sheetView>
  </sheetViews>
  <sheetFormatPr defaultRowHeight="14.5" x14ac:dyDescent="0.35"/>
  <cols>
    <col min="2" max="2" width="7.453125" customWidth="1"/>
  </cols>
  <sheetData>
    <row r="1" spans="2:12" ht="18" x14ac:dyDescent="0.5">
      <c r="B1" s="12" t="s">
        <v>181</v>
      </c>
      <c r="C1" s="13"/>
      <c r="D1" s="13"/>
      <c r="E1" s="13"/>
      <c r="F1" s="13"/>
      <c r="G1" s="13"/>
      <c r="H1" s="13"/>
      <c r="I1" s="13"/>
      <c r="J1" s="13"/>
      <c r="K1" s="13"/>
      <c r="L1" s="13"/>
    </row>
    <row r="2" spans="2:12" ht="21" x14ac:dyDescent="0.5">
      <c r="B2" s="14" t="s">
        <v>186</v>
      </c>
      <c r="C2" s="14"/>
      <c r="D2" s="14"/>
      <c r="E2" s="14"/>
      <c r="F2" s="14"/>
      <c r="G2" s="14"/>
      <c r="H2" s="14"/>
      <c r="I2" s="14"/>
      <c r="J2" s="14"/>
      <c r="K2" s="14"/>
      <c r="L2" s="14"/>
    </row>
    <row r="3" spans="2:12" ht="21" x14ac:dyDescent="0.5">
      <c r="B3" s="14" t="s">
        <v>187</v>
      </c>
      <c r="C3" s="14"/>
      <c r="D3" s="14"/>
      <c r="E3" s="14"/>
      <c r="F3" s="14"/>
      <c r="G3" s="14"/>
      <c r="H3" s="14"/>
      <c r="I3" s="14"/>
      <c r="J3" s="14"/>
      <c r="K3" s="14"/>
      <c r="L3" s="14"/>
    </row>
    <row r="4" spans="2:12" ht="21" x14ac:dyDescent="0.5">
      <c r="B4" s="14" t="s">
        <v>188</v>
      </c>
      <c r="C4" s="14"/>
      <c r="D4" s="14"/>
      <c r="E4" s="14"/>
      <c r="F4" s="14"/>
      <c r="G4" s="14"/>
      <c r="H4" s="14"/>
      <c r="I4" s="14"/>
      <c r="J4" s="14"/>
      <c r="K4" s="14"/>
      <c r="L4" s="14"/>
    </row>
    <row r="5" spans="2:12" x14ac:dyDescent="0.35">
      <c r="B5" s="15"/>
      <c r="C5" s="15"/>
      <c r="D5" s="15"/>
      <c r="E5" s="15"/>
      <c r="F5" s="15"/>
      <c r="G5" s="15"/>
      <c r="H5" s="15"/>
      <c r="I5" s="15"/>
      <c r="J5" s="15"/>
      <c r="K5" s="15"/>
      <c r="L5" s="15"/>
    </row>
    <row r="6" spans="2:12" x14ac:dyDescent="0.35">
      <c r="B6" s="15"/>
      <c r="C6" s="15"/>
      <c r="D6" s="15"/>
      <c r="E6" s="15"/>
      <c r="F6" s="15"/>
      <c r="G6" s="15"/>
      <c r="H6" s="15"/>
      <c r="I6" s="15"/>
      <c r="J6" s="15"/>
      <c r="K6" s="15"/>
      <c r="L6" s="15"/>
    </row>
    <row r="7" spans="2:12" x14ac:dyDescent="0.35">
      <c r="B7" s="15"/>
      <c r="C7" s="15"/>
      <c r="D7" s="15"/>
      <c r="E7" s="15"/>
      <c r="F7" s="15"/>
      <c r="G7" s="15"/>
      <c r="H7" s="15"/>
      <c r="I7" s="15"/>
      <c r="J7" s="15"/>
      <c r="K7" s="15"/>
      <c r="L7" s="15"/>
    </row>
    <row r="8" spans="2:12" x14ac:dyDescent="0.35">
      <c r="B8" s="15"/>
      <c r="C8" s="15"/>
      <c r="D8" s="15"/>
      <c r="E8" s="15"/>
      <c r="F8" s="15"/>
      <c r="G8" s="15"/>
      <c r="H8" s="15"/>
      <c r="I8" s="15"/>
      <c r="J8" s="15"/>
      <c r="K8" s="15"/>
      <c r="L8" s="15"/>
    </row>
    <row r="9" spans="2:12" x14ac:dyDescent="0.35">
      <c r="B9" s="15"/>
      <c r="C9" s="15"/>
      <c r="D9" s="15"/>
      <c r="E9" s="15"/>
      <c r="F9" s="15"/>
      <c r="G9" s="15"/>
      <c r="H9" s="15"/>
      <c r="I9" s="15"/>
      <c r="J9" s="15"/>
      <c r="K9" s="15"/>
      <c r="L9" s="15"/>
    </row>
    <row r="10" spans="2:12" x14ac:dyDescent="0.35">
      <c r="B10" s="15"/>
      <c r="C10" s="15"/>
      <c r="D10" s="15"/>
      <c r="E10" s="15"/>
      <c r="F10" s="15"/>
      <c r="G10" s="15"/>
      <c r="H10" s="15"/>
      <c r="I10" s="15"/>
      <c r="J10" s="15"/>
      <c r="K10" s="15"/>
      <c r="L10" s="15"/>
    </row>
  </sheetData>
  <mergeCells count="10">
    <mergeCell ref="B6:L6"/>
    <mergeCell ref="B7:L7"/>
    <mergeCell ref="B8:L8"/>
    <mergeCell ref="B9:L9"/>
    <mergeCell ref="B10:L10"/>
    <mergeCell ref="B1:L1"/>
    <mergeCell ref="B2:L2"/>
    <mergeCell ref="B3:L3"/>
    <mergeCell ref="B4:L4"/>
    <mergeCell ref="B5:L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E5E10-C48C-4249-B42E-78125D56D7DD}">
  <dimension ref="A3:L26"/>
  <sheetViews>
    <sheetView zoomScale="70" workbookViewId="0">
      <selection activeCell="H28" sqref="H28"/>
    </sheetView>
  </sheetViews>
  <sheetFormatPr defaultRowHeight="14.5" x14ac:dyDescent="0.35"/>
  <cols>
    <col min="1" max="1" width="11.26953125" bestFit="1" customWidth="1"/>
    <col min="2" max="2" width="11.36328125" bestFit="1" customWidth="1"/>
    <col min="4" max="4" width="10.7265625" bestFit="1" customWidth="1"/>
    <col min="5" max="5" width="11.36328125" bestFit="1" customWidth="1"/>
    <col min="7" max="7" width="12.36328125" bestFit="1" customWidth="1"/>
    <col min="8" max="8" width="16.36328125" bestFit="1" customWidth="1"/>
    <col min="10" max="10" width="13.453125" bestFit="1" customWidth="1"/>
  </cols>
  <sheetData>
    <row r="3" spans="1:12" x14ac:dyDescent="0.35">
      <c r="A3" s="8" t="s">
        <v>9</v>
      </c>
      <c r="B3" t="s">
        <v>182</v>
      </c>
      <c r="D3" s="8" t="s">
        <v>4</v>
      </c>
      <c r="E3" t="s">
        <v>182</v>
      </c>
    </row>
    <row r="4" spans="1:12" x14ac:dyDescent="0.35">
      <c r="A4" s="9" t="s">
        <v>26</v>
      </c>
      <c r="B4" s="10">
        <v>533135</v>
      </c>
      <c r="D4" s="9" t="s">
        <v>22</v>
      </c>
      <c r="E4" s="10">
        <v>433300</v>
      </c>
    </row>
    <row r="5" spans="1:12" x14ac:dyDescent="0.35">
      <c r="A5" s="9" t="s">
        <v>30</v>
      </c>
      <c r="B5" s="10">
        <v>395525</v>
      </c>
      <c r="D5" s="9" t="s">
        <v>14</v>
      </c>
      <c r="E5" s="10">
        <v>1253740</v>
      </c>
    </row>
    <row r="6" spans="1:12" x14ac:dyDescent="0.35">
      <c r="A6" s="9" t="s">
        <v>15</v>
      </c>
      <c r="B6" s="10">
        <v>403195</v>
      </c>
      <c r="D6" s="9" t="s">
        <v>29</v>
      </c>
      <c r="E6" s="10">
        <v>558900</v>
      </c>
    </row>
    <row r="7" spans="1:12" x14ac:dyDescent="0.35">
      <c r="A7" s="9" t="s">
        <v>45</v>
      </c>
      <c r="B7" s="10">
        <v>387505</v>
      </c>
      <c r="D7" s="9" t="s">
        <v>34</v>
      </c>
      <c r="E7" s="10">
        <v>102015</v>
      </c>
    </row>
    <row r="8" spans="1:12" x14ac:dyDescent="0.35">
      <c r="A8" s="9" t="s">
        <v>18</v>
      </c>
      <c r="B8" s="10">
        <v>628595</v>
      </c>
      <c r="D8" s="9" t="s">
        <v>183</v>
      </c>
      <c r="E8" s="10">
        <v>2347955</v>
      </c>
    </row>
    <row r="9" spans="1:12" x14ac:dyDescent="0.35">
      <c r="A9" s="9" t="s">
        <v>183</v>
      </c>
      <c r="B9" s="10">
        <v>2347955</v>
      </c>
    </row>
    <row r="11" spans="1:12" x14ac:dyDescent="0.35">
      <c r="A11" s="8" t="s">
        <v>10</v>
      </c>
      <c r="B11" t="s">
        <v>182</v>
      </c>
      <c r="D11" s="8" t="s">
        <v>3</v>
      </c>
      <c r="E11" t="s">
        <v>182</v>
      </c>
      <c r="G11" s="8" t="s">
        <v>3</v>
      </c>
      <c r="H11" t="s">
        <v>184</v>
      </c>
    </row>
    <row r="12" spans="1:12" x14ac:dyDescent="0.35">
      <c r="A12" s="9" t="s">
        <v>19</v>
      </c>
      <c r="B12" s="10">
        <v>785550</v>
      </c>
      <c r="D12" s="9" t="s">
        <v>33</v>
      </c>
      <c r="E12" s="10">
        <v>256200</v>
      </c>
      <c r="G12" s="9" t="s">
        <v>33</v>
      </c>
      <c r="H12">
        <v>32</v>
      </c>
    </row>
    <row r="13" spans="1:12" x14ac:dyDescent="0.35">
      <c r="A13" s="9" t="s">
        <v>35</v>
      </c>
      <c r="B13" s="10">
        <v>862320</v>
      </c>
      <c r="D13" s="9" t="s">
        <v>21</v>
      </c>
      <c r="E13" s="10">
        <v>433300</v>
      </c>
      <c r="G13" s="9" t="s">
        <v>21</v>
      </c>
      <c r="H13">
        <v>43</v>
      </c>
    </row>
    <row r="14" spans="1:12" x14ac:dyDescent="0.35">
      <c r="A14" s="9" t="s">
        <v>16</v>
      </c>
      <c r="B14" s="10">
        <v>700085</v>
      </c>
      <c r="D14" s="9" t="s">
        <v>56</v>
      </c>
      <c r="E14" s="10">
        <v>102015</v>
      </c>
      <c r="G14" s="9" t="s">
        <v>56</v>
      </c>
      <c r="H14">
        <v>44</v>
      </c>
    </row>
    <row r="15" spans="1:12" x14ac:dyDescent="0.35">
      <c r="A15" s="9" t="s">
        <v>183</v>
      </c>
      <c r="B15" s="10">
        <v>2347955</v>
      </c>
      <c r="D15" s="9" t="s">
        <v>38</v>
      </c>
      <c r="E15" s="10">
        <v>577000</v>
      </c>
      <c r="G15" s="9" t="s">
        <v>38</v>
      </c>
      <c r="H15">
        <v>40</v>
      </c>
    </row>
    <row r="16" spans="1:12" x14ac:dyDescent="0.35">
      <c r="D16" s="9" t="s">
        <v>25</v>
      </c>
      <c r="E16" s="10">
        <v>267300</v>
      </c>
      <c r="G16" s="9" t="s">
        <v>25</v>
      </c>
      <c r="H16">
        <v>46</v>
      </c>
      <c r="J16" s="10">
        <f>GETPIVOTDATA("Total",$D$11)</f>
        <v>2347955</v>
      </c>
      <c r="K16">
        <f>GETPIVOTDATA("Quantity",$A$18)</f>
        <v>904</v>
      </c>
      <c r="L16">
        <f>GETPIVOTDATA("Order_ID",$G$11)</f>
        <v>300</v>
      </c>
    </row>
    <row r="17" spans="1:8" x14ac:dyDescent="0.35">
      <c r="D17" s="9" t="s">
        <v>28</v>
      </c>
      <c r="E17" s="10">
        <v>558900</v>
      </c>
      <c r="G17" s="9" t="s">
        <v>28</v>
      </c>
      <c r="H17">
        <v>42</v>
      </c>
    </row>
    <row r="18" spans="1:8" x14ac:dyDescent="0.35">
      <c r="A18" s="8" t="s">
        <v>3</v>
      </c>
      <c r="B18" t="s">
        <v>185</v>
      </c>
      <c r="D18" s="9" t="s">
        <v>13</v>
      </c>
      <c r="E18" s="10">
        <v>153240</v>
      </c>
      <c r="G18" s="9" t="s">
        <v>13</v>
      </c>
      <c r="H18">
        <v>53</v>
      </c>
    </row>
    <row r="19" spans="1:8" x14ac:dyDescent="0.35">
      <c r="A19" s="9" t="s">
        <v>33</v>
      </c>
      <c r="B19">
        <v>101</v>
      </c>
      <c r="D19" s="9" t="s">
        <v>183</v>
      </c>
      <c r="E19" s="10">
        <v>2347955</v>
      </c>
      <c r="G19" s="9" t="s">
        <v>183</v>
      </c>
      <c r="H19">
        <v>300</v>
      </c>
    </row>
    <row r="20" spans="1:8" x14ac:dyDescent="0.35">
      <c r="A20" s="9" t="s">
        <v>21</v>
      </c>
      <c r="B20">
        <v>137</v>
      </c>
    </row>
    <row r="21" spans="1:8" x14ac:dyDescent="0.35">
      <c r="A21" s="9" t="s">
        <v>56</v>
      </c>
      <c r="B21">
        <v>126</v>
      </c>
    </row>
    <row r="22" spans="1:8" x14ac:dyDescent="0.35">
      <c r="A22" s="9" t="s">
        <v>38</v>
      </c>
      <c r="B22">
        <v>125</v>
      </c>
    </row>
    <row r="23" spans="1:8" x14ac:dyDescent="0.35">
      <c r="A23" s="9" t="s">
        <v>25</v>
      </c>
      <c r="B23">
        <v>136</v>
      </c>
    </row>
    <row r="24" spans="1:8" x14ac:dyDescent="0.35">
      <c r="A24" s="9" t="s">
        <v>28</v>
      </c>
      <c r="B24">
        <v>136</v>
      </c>
    </row>
    <row r="25" spans="1:8" x14ac:dyDescent="0.35">
      <c r="A25" s="9" t="s">
        <v>13</v>
      </c>
      <c r="B25">
        <v>143</v>
      </c>
    </row>
    <row r="26" spans="1:8" x14ac:dyDescent="0.35">
      <c r="A26" s="9" t="s">
        <v>183</v>
      </c>
      <c r="B26">
        <v>904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851D0-5C00-43D6-B148-87E21F2AC577}">
  <dimension ref="A1"/>
  <sheetViews>
    <sheetView showGridLines="0" tabSelected="1" zoomScale="60" zoomScaleNormal="60" workbookViewId="0"/>
  </sheetViews>
  <sheetFormatPr defaultRowHeight="14.5" x14ac:dyDescent="0.35"/>
  <cols>
    <col min="1" max="1" width="12.36328125" bestFit="1" customWidth="1"/>
    <col min="2" max="2" width="16.36328125" bestFit="1"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readme</vt:lpstr>
      <vt:lpstr>pivot_tables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bc220410301 rabia zaheer</cp:lastModifiedBy>
  <dcterms:created xsi:type="dcterms:W3CDTF">2026-06-15T17:35:07Z</dcterms:created>
  <dcterms:modified xsi:type="dcterms:W3CDTF">2026-07-15T08:49:34Z</dcterms:modified>
</cp:coreProperties>
</file>